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Jaime Orduy\Desktop\claudia orduy\ALCALDIA 2026\28-02-2026 al 28-03-2026\INSTRUMETOS PARAMETRIZADOS-RIAS VIG 2026\"/>
    </mc:Choice>
  </mc:AlternateContent>
  <xr:revisionPtr revIDLastSave="0" documentId="13_ncr:1_{F60B725E-8BAD-448B-8FFA-317A6E80DB0F}" xr6:coauthVersionLast="47" xr6:coauthVersionMax="47" xr10:uidLastSave="{00000000-0000-0000-0000-000000000000}"/>
  <bookViews>
    <workbookView xWindow="-120" yWindow="-120" windowWidth="20730" windowHeight="11160" firstSheet="5" activeTab="8" xr2:uid="{00000000-000D-0000-FFFF-FFFF00000000}"/>
  </bookViews>
  <sheets>
    <sheet name="VIOLENCIA SEXUAL" sheetId="21" r:id="rId1"/>
    <sheet name="ITS-VIH" sheetId="20" r:id="rId2"/>
    <sheet name="CANCER DE COLOM RECTAL" sheetId="19" r:id="rId3"/>
    <sheet name="CANCER DE MAMA" sheetId="18" r:id="rId4"/>
    <sheet name="CANCER DE PROSTATA" sheetId="17" r:id="rId5"/>
    <sheet name="CANCER DE CUELLO UTERINO" sheetId="16" r:id="rId6"/>
    <sheet name="SALUD ORAL" sheetId="15" r:id="rId7"/>
    <sheet name="SALUD MENTAL" sheetId="14" r:id="rId8"/>
    <sheet name="RESO 2350" sheetId="10" r:id="rId9"/>
    <sheet name="RES 2465"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0" i="11" l="1"/>
  <c r="F30" i="11"/>
  <c r="E30" i="11"/>
  <c r="E31" i="11" s="1"/>
  <c r="G43" i="10"/>
  <c r="F43" i="10"/>
  <c r="E43" i="10"/>
  <c r="E44" i="10" s="1"/>
  <c r="G33" i="15"/>
  <c r="F33" i="15"/>
  <c r="E33" i="15"/>
  <c r="E34" i="15"/>
  <c r="D29" i="11"/>
  <c r="D28" i="11"/>
  <c r="D27" i="11"/>
  <c r="D26" i="11"/>
  <c r="D25" i="11"/>
  <c r="D24" i="11"/>
  <c r="D23" i="11"/>
  <c r="D22" i="11"/>
  <c r="D21" i="11"/>
  <c r="D20" i="11"/>
  <c r="D19" i="11"/>
  <c r="D18" i="11"/>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31" i="14"/>
  <c r="D30" i="14"/>
  <c r="D29" i="14"/>
  <c r="D28" i="14"/>
  <c r="D27" i="14"/>
  <c r="D26" i="14"/>
  <c r="D25" i="14"/>
  <c r="D24" i="14"/>
  <c r="D23" i="14"/>
  <c r="D22" i="14"/>
  <c r="D21" i="14"/>
  <c r="D20" i="14"/>
  <c r="D19" i="14"/>
  <c r="D18" i="14"/>
  <c r="D33" i="15"/>
  <c r="D32" i="15"/>
  <c r="D31" i="15"/>
  <c r="D30" i="15"/>
  <c r="D29" i="15"/>
  <c r="D28" i="15"/>
  <c r="D27" i="15"/>
  <c r="D26" i="15"/>
  <c r="D25" i="15"/>
  <c r="D24" i="15"/>
  <c r="D23" i="15"/>
  <c r="D22" i="15"/>
  <c r="D21" i="15"/>
  <c r="D20" i="15"/>
  <c r="D19" i="15"/>
  <c r="D18" i="15"/>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35" i="18"/>
  <c r="D34" i="18"/>
  <c r="D33" i="18"/>
  <c r="D32" i="18"/>
  <c r="D31" i="18"/>
  <c r="D30" i="18"/>
  <c r="D29" i="18"/>
  <c r="D28" i="18"/>
  <c r="D27" i="18"/>
  <c r="D26" i="18"/>
  <c r="D25" i="18"/>
  <c r="D24" i="18"/>
  <c r="D23" i="18"/>
  <c r="D22" i="18"/>
  <c r="D21" i="18"/>
  <c r="D20" i="18"/>
  <c r="D19" i="18"/>
  <c r="D18" i="18"/>
  <c r="D17" i="18"/>
  <c r="D16" i="18"/>
  <c r="D15" i="18"/>
  <c r="D40" i="19"/>
  <c r="D39" i="19"/>
  <c r="D38" i="19"/>
  <c r="D37" i="19"/>
  <c r="D36" i="19"/>
  <c r="D35" i="19"/>
  <c r="D34" i="19"/>
  <c r="D33" i="19"/>
  <c r="D32" i="19"/>
  <c r="D31" i="19"/>
  <c r="D30" i="19"/>
  <c r="D29" i="19"/>
  <c r="D28" i="19"/>
  <c r="D27" i="19"/>
  <c r="D26" i="19"/>
  <c r="D25" i="19"/>
  <c r="D24" i="19"/>
  <c r="D23" i="19"/>
  <c r="D22" i="19"/>
  <c r="D21" i="19"/>
  <c r="D20" i="19"/>
  <c r="D19" i="19"/>
  <c r="D18" i="19"/>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31" i="21"/>
  <c r="D30" i="21"/>
  <c r="D29" i="21"/>
  <c r="D28" i="21"/>
  <c r="D27" i="21"/>
  <c r="D26" i="21"/>
  <c r="D25" i="21"/>
  <c r="D24" i="21"/>
  <c r="D23" i="21"/>
  <c r="D22" i="21"/>
  <c r="D21" i="21"/>
  <c r="D20" i="21"/>
  <c r="D19" i="21"/>
  <c r="D18" i="21"/>
  <c r="C32" i="21" l="1"/>
  <c r="E32" i="21"/>
  <c r="F32" i="21"/>
  <c r="G32" i="21"/>
  <c r="C44" i="20"/>
  <c r="E44" i="20"/>
  <c r="F44" i="20"/>
  <c r="G44" i="20"/>
  <c r="E33" i="21" l="1"/>
  <c r="E45" i="20"/>
  <c r="C41" i="19"/>
  <c r="E41" i="19"/>
  <c r="E42" i="19" s="1"/>
  <c r="F41" i="19"/>
  <c r="G41" i="19"/>
  <c r="E36" i="18"/>
  <c r="F36" i="18"/>
  <c r="G36" i="18"/>
  <c r="C41" i="17"/>
  <c r="E41" i="17"/>
  <c r="F41" i="17"/>
  <c r="G41" i="17"/>
  <c r="E42" i="17"/>
  <c r="C48" i="16"/>
  <c r="E48" i="16"/>
  <c r="F48" i="16"/>
  <c r="G48" i="16"/>
  <c r="E32" i="14"/>
  <c r="F32" i="14"/>
  <c r="G32" i="14"/>
  <c r="E37" i="18" l="1"/>
  <c r="E49" i="16"/>
  <c r="E33" i="14"/>
  <c r="C43" i="10" l="1"/>
  <c r="D4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4003246E-EB5A-4D00-B78A-F7222D3E22B9}">
      <text>
        <r>
          <rPr>
            <sz val="9"/>
            <color indexed="81"/>
            <rFont val="Tahoma"/>
            <family val="2"/>
          </rPr>
          <t xml:space="preserve">REGISTRAR 1 EN CASO DE CUMPLIMIENTO </t>
        </r>
      </text>
    </comment>
    <comment ref="F17" authorId="0" shapeId="0" xr:uid="{5546BD64-96AE-4317-BD00-C02A93CCA01C}">
      <text>
        <r>
          <rPr>
            <sz val="9"/>
            <color indexed="81"/>
            <rFont val="Tahoma"/>
            <family val="2"/>
          </rPr>
          <t xml:space="preserve">REGISTRARCERO SI NO CUMPLE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E1F4A51C-C30E-4055-A3B4-6E9A00410B84}">
      <text>
        <r>
          <rPr>
            <sz val="9"/>
            <color indexed="81"/>
            <rFont val="Tahoma"/>
            <family val="2"/>
          </rPr>
          <t xml:space="preserve">REGISTRAR 1 EN CASO DE CUMPLIMIENTO </t>
        </r>
      </text>
    </comment>
    <comment ref="F17" authorId="0" shapeId="0" xr:uid="{F59FBF09-2152-4A9D-8715-C70817A196EC}">
      <text>
        <r>
          <rPr>
            <sz val="9"/>
            <color indexed="81"/>
            <rFont val="Tahoma"/>
            <family val="2"/>
          </rPr>
          <t xml:space="preserve">REGISTRARCERO SI NO CUMPLE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Yenny Tatiana Casallas Aponte</author>
  </authors>
  <commentList>
    <comment ref="E17" authorId="0" shapeId="0" xr:uid="{62E8E333-0AF2-4C37-AB1E-DEEA459C0AAD}">
      <text>
        <r>
          <rPr>
            <sz val="9"/>
            <color indexed="81"/>
            <rFont val="Tahoma"/>
            <family val="2"/>
          </rPr>
          <t xml:space="preserve">REGISTRAR 1 EN CASO DE CUMPLIMIENTO </t>
        </r>
      </text>
    </comment>
    <comment ref="F17" authorId="0" shapeId="0" xr:uid="{E0374A9A-F7E4-4A6C-82FB-12CF0E94CF7C}">
      <text>
        <r>
          <rPr>
            <sz val="9"/>
            <color indexed="81"/>
            <rFont val="Tahoma"/>
            <family val="2"/>
          </rPr>
          <t xml:space="preserve">REGISTRARCERO SI NO CUMPLE 
</t>
        </r>
      </text>
    </comment>
    <comment ref="B22" authorId="1" shapeId="0" xr:uid="{A58062E1-FF54-4962-AED9-7A2D1B854199}">
      <text>
        <r>
          <rPr>
            <b/>
            <sz val="9"/>
            <color indexed="81"/>
            <rFont val="Tahoma"/>
            <family val="2"/>
          </rPr>
          <t>Yenny Tatiana Casallas Aponte:</t>
        </r>
        <r>
          <rPr>
            <sz val="9"/>
            <color indexed="81"/>
            <rFont val="Tahoma"/>
            <family val="2"/>
          </rPr>
          <t xml:space="preserve">
Redactar item como pregunta.</t>
        </r>
      </text>
    </comment>
    <comment ref="B23" authorId="1" shapeId="0" xr:uid="{4F020453-92BB-4459-9283-04AF79FF6450}">
      <text>
        <r>
          <rPr>
            <b/>
            <sz val="9"/>
            <color indexed="81"/>
            <rFont val="Tahoma"/>
            <family val="2"/>
          </rPr>
          <t>Yenny Tatiana Casallas Aponte:</t>
        </r>
        <r>
          <rPr>
            <sz val="9"/>
            <color indexed="81"/>
            <rFont val="Tahoma"/>
            <family val="2"/>
          </rPr>
          <t xml:space="preserve">
Redactar item como pregunta.</t>
        </r>
      </text>
    </comment>
    <comment ref="B24" authorId="1" shapeId="0" xr:uid="{612C8BC8-8CC4-405B-9601-47DEB7E637EA}">
      <text>
        <r>
          <rPr>
            <b/>
            <sz val="9"/>
            <color indexed="81"/>
            <rFont val="Tahoma"/>
            <family val="2"/>
          </rPr>
          <t>Yenny Tatiana Casallas Aponte:</t>
        </r>
        <r>
          <rPr>
            <sz val="9"/>
            <color indexed="81"/>
            <rFont val="Tahoma"/>
            <family val="2"/>
          </rPr>
          <t xml:space="preserve">
Redactar item como pregunta.</t>
        </r>
      </text>
    </comment>
    <comment ref="B25" authorId="1" shapeId="0" xr:uid="{8F9DBC35-E791-466B-AD49-ADE8DBEA962E}">
      <text>
        <r>
          <rPr>
            <b/>
            <sz val="9"/>
            <color indexed="81"/>
            <rFont val="Tahoma"/>
            <family val="2"/>
          </rPr>
          <t>Yenny Tatiana Casallas Aponte:</t>
        </r>
        <r>
          <rPr>
            <sz val="9"/>
            <color indexed="81"/>
            <rFont val="Tahoma"/>
            <family val="2"/>
          </rPr>
          <t xml:space="preserve">
Redactar item como pregunta.</t>
        </r>
      </text>
    </comment>
    <comment ref="B26" authorId="1" shapeId="0" xr:uid="{C485D615-0A5A-4B79-A634-4F3F35C7BDFC}">
      <text>
        <r>
          <rPr>
            <b/>
            <sz val="9"/>
            <color indexed="81"/>
            <rFont val="Tahoma"/>
            <family val="2"/>
          </rPr>
          <t>Yenny Tatiana Casallas Aponte:</t>
        </r>
        <r>
          <rPr>
            <sz val="9"/>
            <color indexed="81"/>
            <rFont val="Tahoma"/>
            <family val="2"/>
          </rPr>
          <t xml:space="preserve">
Redactar item como pregunta.</t>
        </r>
      </text>
    </comment>
    <comment ref="B27" authorId="1" shapeId="0" xr:uid="{87310347-A2DD-4738-91BC-9A23DAB2D21C}">
      <text>
        <r>
          <rPr>
            <b/>
            <sz val="9"/>
            <color indexed="81"/>
            <rFont val="Tahoma"/>
            <family val="2"/>
          </rPr>
          <t>Yenny Tatiana Casallas Aponte:</t>
        </r>
        <r>
          <rPr>
            <sz val="9"/>
            <color indexed="81"/>
            <rFont val="Tahoma"/>
            <family val="2"/>
          </rPr>
          <t xml:space="preserve">
Redactar item como pregunta.</t>
        </r>
      </text>
    </comment>
    <comment ref="B31" authorId="1" shapeId="0" xr:uid="{5F438137-65BE-494A-B262-BA8EE6033039}">
      <text>
        <r>
          <rPr>
            <b/>
            <sz val="9"/>
            <color indexed="81"/>
            <rFont val="Tahoma"/>
            <family val="2"/>
          </rPr>
          <t>Yenny Tatiana Casallas Aponte:</t>
        </r>
        <r>
          <rPr>
            <sz val="9"/>
            <color indexed="81"/>
            <rFont val="Tahoma"/>
            <family val="2"/>
          </rPr>
          <t xml:space="preserve">
Redactar item como pregunta.</t>
        </r>
      </text>
    </comment>
    <comment ref="B34" authorId="1" shapeId="0" xr:uid="{7D63E55B-911C-4CD5-9BDF-9227B638E222}">
      <text>
        <r>
          <rPr>
            <b/>
            <sz val="9"/>
            <color indexed="81"/>
            <rFont val="Tahoma"/>
            <family val="2"/>
          </rPr>
          <t>Yenny Tatiana Casallas Aponte:</t>
        </r>
        <r>
          <rPr>
            <sz val="9"/>
            <color indexed="81"/>
            <rFont val="Tahoma"/>
            <family val="2"/>
          </rPr>
          <t xml:space="preserve">
Redactar item como pregunta.</t>
        </r>
      </text>
    </comment>
    <comment ref="B37" authorId="1" shapeId="0" xr:uid="{114C734F-EFD8-4070-BBF1-79D8C257FA85}">
      <text>
        <r>
          <rPr>
            <b/>
            <sz val="9"/>
            <color indexed="81"/>
            <rFont val="Tahoma"/>
            <family val="2"/>
          </rPr>
          <t>Yenny Tatiana Casallas Aponte:</t>
        </r>
        <r>
          <rPr>
            <sz val="9"/>
            <color indexed="81"/>
            <rFont val="Tahoma"/>
            <family val="2"/>
          </rPr>
          <t xml:space="preserve">
Redactar item como pregunta.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Yenny Tatiana Casallas Aponte</author>
  </authors>
  <commentList>
    <comment ref="E14" authorId="0" shapeId="0" xr:uid="{88B76AD0-2A70-46AA-9F0F-6361D3D078C5}">
      <text>
        <r>
          <rPr>
            <sz val="9"/>
            <color indexed="81"/>
            <rFont val="Tahoma"/>
            <family val="2"/>
          </rPr>
          <t xml:space="preserve">REGISTRAR 1 EN CASO DE CUMPLIMIENTO </t>
        </r>
      </text>
    </comment>
    <comment ref="F14" authorId="0" shapeId="0" xr:uid="{B9914EEE-1D03-491B-88F0-38ABAC26A4E7}">
      <text>
        <r>
          <rPr>
            <sz val="9"/>
            <color indexed="81"/>
            <rFont val="Tahoma"/>
            <family val="2"/>
          </rPr>
          <t xml:space="preserve">REGISTRARCERO SI NO CUMPLE 
</t>
        </r>
      </text>
    </comment>
    <comment ref="B24" authorId="1" shapeId="0" xr:uid="{6DF1A83A-407C-4268-AA61-7118FCCED763}">
      <text>
        <r>
          <rPr>
            <b/>
            <sz val="9"/>
            <color indexed="81"/>
            <rFont val="Tahoma"/>
            <family val="2"/>
          </rPr>
          <t>Yenny Tatiana Casallas Aponte:</t>
        </r>
        <r>
          <rPr>
            <sz val="9"/>
            <color indexed="81"/>
            <rFont val="Tahoma"/>
            <family val="2"/>
          </rPr>
          <t xml:space="preserve">
Redactar item como pregunta.</t>
        </r>
      </text>
    </comment>
    <comment ref="B26" authorId="1" shapeId="0" xr:uid="{FD306E59-8849-4593-A1AD-E5D01E6B8885}">
      <text>
        <r>
          <rPr>
            <b/>
            <sz val="9"/>
            <color indexed="81"/>
            <rFont val="Tahoma"/>
            <family val="2"/>
          </rPr>
          <t>Yenny Tatiana Casallas Aponte:</t>
        </r>
        <r>
          <rPr>
            <sz val="9"/>
            <color indexed="81"/>
            <rFont val="Tahoma"/>
            <family val="2"/>
          </rPr>
          <t xml:space="preserve">
Redactar item como pregunta.</t>
        </r>
      </text>
    </comment>
    <comment ref="B27" authorId="1" shapeId="0" xr:uid="{E07E1A23-8C5E-4FCD-8C54-1DA7E16D747E}">
      <text>
        <r>
          <rPr>
            <b/>
            <sz val="9"/>
            <color indexed="81"/>
            <rFont val="Tahoma"/>
            <family val="2"/>
          </rPr>
          <t>Yenny Tatiana Casallas Aponte:</t>
        </r>
        <r>
          <rPr>
            <sz val="9"/>
            <color indexed="81"/>
            <rFont val="Tahoma"/>
            <family val="2"/>
          </rPr>
          <t xml:space="preserve">
Redactar item como pregunta.</t>
        </r>
      </text>
    </comment>
    <comment ref="B28" authorId="1" shapeId="0" xr:uid="{EA0AE906-9AEB-41A8-9A3E-C8FE7FB6C3B2}">
      <text>
        <r>
          <rPr>
            <b/>
            <sz val="9"/>
            <color indexed="81"/>
            <rFont val="Tahoma"/>
            <family val="2"/>
          </rPr>
          <t>Yenny Tatiana Casallas Aponte:</t>
        </r>
        <r>
          <rPr>
            <sz val="9"/>
            <color indexed="81"/>
            <rFont val="Tahoma"/>
            <family val="2"/>
          </rPr>
          <t xml:space="preserve">
Redactar item como pregunta.</t>
        </r>
      </text>
    </comment>
    <comment ref="B29" authorId="1" shapeId="0" xr:uid="{57E9A0E5-6862-4B7E-A566-FCF7DD088E35}">
      <text>
        <r>
          <rPr>
            <b/>
            <sz val="9"/>
            <color indexed="81"/>
            <rFont val="Tahoma"/>
            <family val="2"/>
          </rPr>
          <t>Yenny Tatiana Casallas Aponte:</t>
        </r>
        <r>
          <rPr>
            <sz val="9"/>
            <color indexed="81"/>
            <rFont val="Tahoma"/>
            <family val="2"/>
          </rPr>
          <t xml:space="preserve">
Redactar item como pregunta.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Yenny Tatiana Casallas Aponte</author>
  </authors>
  <commentList>
    <comment ref="E14" authorId="0" shapeId="0" xr:uid="{30697C13-C847-4B77-BDC6-FB1A0A0E6A94}">
      <text>
        <r>
          <rPr>
            <sz val="9"/>
            <color indexed="81"/>
            <rFont val="Tahoma"/>
            <family val="2"/>
          </rPr>
          <t xml:space="preserve">REGISTRAR 1 EN CASO DE CUMPLIMIENTO </t>
        </r>
      </text>
    </comment>
    <comment ref="F14" authorId="0" shapeId="0" xr:uid="{D769E19A-6BED-40D0-816F-E4EB66ACD330}">
      <text>
        <r>
          <rPr>
            <sz val="9"/>
            <color indexed="81"/>
            <rFont val="Tahoma"/>
            <family val="2"/>
          </rPr>
          <t xml:space="preserve">REGISTRARCERO SI NO CUMPLE 
</t>
        </r>
      </text>
    </comment>
    <comment ref="B18" authorId="1" shapeId="0" xr:uid="{B5E51A53-16E7-45B5-AA97-C39F6CED35D2}">
      <text>
        <r>
          <rPr>
            <b/>
            <sz val="9"/>
            <color indexed="81"/>
            <rFont val="Tahoma"/>
            <family val="2"/>
          </rPr>
          <t>Yenny Tatiana Casallas Aponte:</t>
        </r>
        <r>
          <rPr>
            <sz val="9"/>
            <color indexed="81"/>
            <rFont val="Tahoma"/>
            <family val="2"/>
          </rPr>
          <t xml:space="preserve">
Redactar item </t>
        </r>
      </text>
    </comment>
    <comment ref="B19" authorId="1" shapeId="0" xr:uid="{0EA954A9-896E-4E68-BECB-EF4ACA2A1818}">
      <text>
        <r>
          <rPr>
            <b/>
            <sz val="9"/>
            <color indexed="81"/>
            <rFont val="Tahoma"/>
            <family val="2"/>
          </rPr>
          <t>Yenny Tatiana Casallas Aponte:</t>
        </r>
        <r>
          <rPr>
            <sz val="9"/>
            <color indexed="81"/>
            <rFont val="Tahoma"/>
            <family val="2"/>
          </rPr>
          <t xml:space="preserve">
Redactar item como pregunta.</t>
        </r>
      </text>
    </comment>
    <comment ref="B20" authorId="1" shapeId="0" xr:uid="{3E2A4FA4-4DB2-4AA6-BCDC-414C5FD75AE3}">
      <text>
        <r>
          <rPr>
            <b/>
            <sz val="9"/>
            <color indexed="81"/>
            <rFont val="Tahoma"/>
            <family val="2"/>
          </rPr>
          <t>Yenny Tatiana Casallas Aponte:</t>
        </r>
        <r>
          <rPr>
            <sz val="9"/>
            <color indexed="81"/>
            <rFont val="Tahoma"/>
            <family val="2"/>
          </rPr>
          <t xml:space="preserve">
Redactar item como pregunta.</t>
        </r>
      </text>
    </comment>
    <comment ref="B21" authorId="1" shapeId="0" xr:uid="{5773F221-CA40-4D34-90A5-F08E6BD83301}">
      <text>
        <r>
          <rPr>
            <b/>
            <sz val="9"/>
            <color indexed="81"/>
            <rFont val="Tahoma"/>
            <family val="2"/>
          </rPr>
          <t>Yenny Tatiana Casallas Aponte:</t>
        </r>
        <r>
          <rPr>
            <sz val="9"/>
            <color indexed="81"/>
            <rFont val="Tahoma"/>
            <family val="2"/>
          </rPr>
          <t xml:space="preserve">
Información técnica que debe conocer la persona que aplica el formato</t>
        </r>
      </text>
    </comment>
    <comment ref="B22" authorId="1" shapeId="0" xr:uid="{87D442B2-C18A-4FC1-A229-535AA1BF8639}">
      <text>
        <r>
          <rPr>
            <b/>
            <sz val="9"/>
            <color indexed="81"/>
            <rFont val="Tahoma"/>
            <family val="2"/>
          </rPr>
          <t>Yenny Tatiana Casallas Aponte:</t>
        </r>
        <r>
          <rPr>
            <sz val="9"/>
            <color indexed="81"/>
            <rFont val="Tahoma"/>
            <family val="2"/>
          </rPr>
          <t xml:space="preserve">
Información técnica que debe conocer la persona que aplica el formato</t>
        </r>
      </text>
    </comment>
    <comment ref="B23" authorId="1" shapeId="0" xr:uid="{DDF7BCB0-2609-446B-BD67-AB50B491C1BB}">
      <text>
        <r>
          <rPr>
            <b/>
            <sz val="9"/>
            <color indexed="81"/>
            <rFont val="Tahoma"/>
            <family val="2"/>
          </rPr>
          <t>Yenny Tatiana Casallas Aponte:</t>
        </r>
        <r>
          <rPr>
            <sz val="9"/>
            <color indexed="81"/>
            <rFont val="Tahoma"/>
            <family val="2"/>
          </rPr>
          <t xml:space="preserve">
Información técnica que debe conocer la persona que aplica el formato</t>
        </r>
      </text>
    </comment>
    <comment ref="B25" authorId="1" shapeId="0" xr:uid="{A8D0382E-AE12-4DC4-8DBB-4DA017A4BDBF}">
      <text>
        <r>
          <rPr>
            <b/>
            <sz val="9"/>
            <color indexed="81"/>
            <rFont val="Tahoma"/>
            <family val="2"/>
          </rPr>
          <t>Yenny Tatiana Casallas Aponte:</t>
        </r>
        <r>
          <rPr>
            <sz val="9"/>
            <color indexed="81"/>
            <rFont val="Tahoma"/>
            <family val="2"/>
          </rPr>
          <t xml:space="preserve">
Redactar item como pregunta.
</t>
        </r>
      </text>
    </comment>
    <comment ref="B26" authorId="1" shapeId="0" xr:uid="{E8BDB146-D7C8-432C-B844-C9F4379E5A04}">
      <text>
        <r>
          <rPr>
            <b/>
            <sz val="9"/>
            <color indexed="81"/>
            <rFont val="Tahoma"/>
            <family val="2"/>
          </rPr>
          <t>Yenny Tatiana Casallas Aponte:</t>
        </r>
        <r>
          <rPr>
            <sz val="9"/>
            <color indexed="81"/>
            <rFont val="Tahoma"/>
            <family val="2"/>
          </rPr>
          <t xml:space="preserve">
Redactar item como pregunta.
</t>
        </r>
      </text>
    </comment>
    <comment ref="B28" authorId="1" shapeId="0" xr:uid="{34A4F758-C2DE-48D5-A5C9-0D4A06405E58}">
      <text>
        <r>
          <rPr>
            <b/>
            <sz val="9"/>
            <color indexed="81"/>
            <rFont val="Tahoma"/>
            <family val="2"/>
          </rPr>
          <t>Yenny Tatiana Casallas Aponte:</t>
        </r>
        <r>
          <rPr>
            <sz val="9"/>
            <color indexed="81"/>
            <rFont val="Tahoma"/>
            <family val="2"/>
          </rPr>
          <t xml:space="preserve">
Redactar item como pregunta.
</t>
        </r>
      </text>
    </comment>
    <comment ref="B29" authorId="1" shapeId="0" xr:uid="{50844BF5-50D6-4F7D-AE16-8D09966BBEB3}">
      <text>
        <r>
          <rPr>
            <b/>
            <sz val="9"/>
            <color indexed="81"/>
            <rFont val="Tahoma"/>
            <family val="2"/>
          </rPr>
          <t>Yenny Tatiana Casallas Aponte:</t>
        </r>
        <r>
          <rPr>
            <sz val="9"/>
            <color indexed="81"/>
            <rFont val="Tahoma"/>
            <family val="2"/>
          </rPr>
          <t xml:space="preserve">
Redactar item como pregunta.
</t>
        </r>
      </text>
    </comment>
    <comment ref="B30" authorId="1" shapeId="0" xr:uid="{2F058F97-FB98-4035-A98B-367F8E3EFDC3}">
      <text>
        <r>
          <rPr>
            <b/>
            <sz val="9"/>
            <color indexed="81"/>
            <rFont val="Tahoma"/>
            <family val="2"/>
          </rPr>
          <t>Yenny Tatiana Casallas Aponte:</t>
        </r>
        <r>
          <rPr>
            <sz val="9"/>
            <color indexed="81"/>
            <rFont val="Tahoma"/>
            <family val="2"/>
          </rPr>
          <t xml:space="preserve">
Redactar item como pregunta.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Yenny Tatiana Casallas Aponte</author>
  </authors>
  <commentList>
    <comment ref="E14" authorId="0" shapeId="0" xr:uid="{3401341C-5039-43D0-B7D7-42B85114BAE1}">
      <text>
        <r>
          <rPr>
            <sz val="9"/>
            <color indexed="81"/>
            <rFont val="Tahoma"/>
            <family val="2"/>
          </rPr>
          <t xml:space="preserve">REGISTRAR 1 EN CASO DE CUMPLIMIENTO </t>
        </r>
      </text>
    </comment>
    <comment ref="F14" authorId="0" shapeId="0" xr:uid="{785EAD7E-53FF-4327-839F-7E1202EE2D10}">
      <text>
        <r>
          <rPr>
            <sz val="9"/>
            <color indexed="81"/>
            <rFont val="Tahoma"/>
            <family val="2"/>
          </rPr>
          <t xml:space="preserve">REGISTRARCERO SI NO CUMPLE 
</t>
        </r>
      </text>
    </comment>
    <comment ref="B20" authorId="1" shapeId="0" xr:uid="{CE5A0531-92D7-4665-AD97-E900A5272626}">
      <text>
        <r>
          <rPr>
            <b/>
            <sz val="9"/>
            <color indexed="81"/>
            <rFont val="Tahoma"/>
            <family val="2"/>
          </rPr>
          <t>Yenny Tatiana Casallas Aponte:</t>
        </r>
        <r>
          <rPr>
            <sz val="9"/>
            <color indexed="81"/>
            <rFont val="Tahoma"/>
            <family val="2"/>
          </rPr>
          <t xml:space="preserve">
Redactar item como pregunta.</t>
        </r>
      </text>
    </comment>
    <comment ref="B26" authorId="1" shapeId="0" xr:uid="{019DA2ED-FBF1-4BA1-AD13-01F526691215}">
      <text>
        <r>
          <rPr>
            <b/>
            <sz val="9"/>
            <color indexed="81"/>
            <rFont val="Tahoma"/>
            <family val="2"/>
          </rPr>
          <t>Yenny Tatiana Casallas Aponte:</t>
        </r>
        <r>
          <rPr>
            <sz val="9"/>
            <color indexed="81"/>
            <rFont val="Tahoma"/>
            <family val="2"/>
          </rPr>
          <t xml:space="preserve">
Redactar item como pregunta.</t>
        </r>
      </text>
    </comment>
    <comment ref="B30" authorId="1" shapeId="0" xr:uid="{8B434799-6D3D-487C-B038-0667B2EFA40E}">
      <text>
        <r>
          <rPr>
            <b/>
            <sz val="9"/>
            <color indexed="81"/>
            <rFont val="Tahoma"/>
            <family val="2"/>
          </rPr>
          <t>Yenny Tatiana Casallas Aponte:</t>
        </r>
        <r>
          <rPr>
            <sz val="9"/>
            <color indexed="81"/>
            <rFont val="Tahoma"/>
            <family val="2"/>
          </rPr>
          <t xml:space="preserve">
Informacion tecnica que debe conocer la persona que aplica el formato, información evaluada en la fila 48</t>
        </r>
      </text>
    </comment>
    <comment ref="B38" authorId="1" shapeId="0" xr:uid="{B31D9F61-3A1C-4EFB-B378-A72856C1364D}">
      <text>
        <r>
          <rPr>
            <b/>
            <sz val="9"/>
            <color indexed="81"/>
            <rFont val="Tahoma"/>
            <family val="2"/>
          </rPr>
          <t>Yenny Tatiana Casallas Aponte:</t>
        </r>
        <r>
          <rPr>
            <sz val="9"/>
            <color indexed="81"/>
            <rFont val="Tahoma"/>
            <family val="2"/>
          </rPr>
          <t xml:space="preserve">
Redactar item como pregunta.</t>
        </r>
      </text>
    </comment>
    <comment ref="B40" authorId="1" shapeId="0" xr:uid="{B80462E4-54BA-42B7-80E1-FB6DC5E0CC0F}">
      <text>
        <r>
          <rPr>
            <b/>
            <sz val="9"/>
            <color indexed="81"/>
            <rFont val="Tahoma"/>
            <family val="2"/>
          </rPr>
          <t>Yenny Tatiana Casallas Aponte:</t>
        </r>
        <r>
          <rPr>
            <sz val="9"/>
            <color indexed="81"/>
            <rFont val="Tahoma"/>
            <family val="2"/>
          </rPr>
          <t xml:space="preserve">
Redactar item como pregunta.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6761E922-6B55-4DA9-9209-2252AF279266}">
      <text>
        <r>
          <rPr>
            <sz val="9"/>
            <color indexed="81"/>
            <rFont val="Tahoma"/>
            <family val="2"/>
          </rPr>
          <t xml:space="preserve">REGISTRAR 1 EN CASO DE CUMPLIMIENTO </t>
        </r>
      </text>
    </comment>
    <comment ref="F17" authorId="0" shapeId="0" xr:uid="{14D92257-B1BF-4621-911D-AD3D99ADDB5C}">
      <text>
        <r>
          <rPr>
            <sz val="9"/>
            <color indexed="81"/>
            <rFont val="Tahoma"/>
            <family val="2"/>
          </rPr>
          <t xml:space="preserve">REGISTRARCERO SI NO CUMPLE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4DF15739-8F5F-446F-871F-54BA167F75EA}">
      <text>
        <r>
          <rPr>
            <sz val="9"/>
            <color indexed="81"/>
            <rFont val="Tahoma"/>
            <family val="2"/>
          </rPr>
          <t xml:space="preserve">REGISTRAR 1 EN CASO DE CUMPLIMIENTO </t>
        </r>
      </text>
    </comment>
    <comment ref="F17" authorId="0" shapeId="0" xr:uid="{494DC67F-3680-4A8A-B9FE-AEEAF55FDA41}">
      <text>
        <r>
          <rPr>
            <sz val="9"/>
            <color indexed="81"/>
            <rFont val="Tahoma"/>
            <family val="2"/>
          </rPr>
          <t xml:space="preserve">REGISTRARCERO SI NO CUMPLE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B19D107F-F208-4F4F-9A70-3605EB305127}">
      <text>
        <r>
          <rPr>
            <sz val="9"/>
            <color indexed="81"/>
            <rFont val="Tahoma"/>
            <family val="2"/>
          </rPr>
          <t xml:space="preserve">REGISTRAR 1 EN CASO DE CUMPLIMIENTO </t>
        </r>
      </text>
    </comment>
    <comment ref="F17" authorId="0" shapeId="0" xr:uid="{CBA1A2F0-593E-47BA-9EB9-5D54BD55C5FD}">
      <text>
        <r>
          <rPr>
            <sz val="9"/>
            <color indexed="81"/>
            <rFont val="Tahoma"/>
            <family val="2"/>
          </rPr>
          <t xml:space="preserve">REGISTRARCERO SI NO CUMPLE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s>
  <commentList>
    <comment ref="E17" authorId="0" shapeId="0" xr:uid="{61E1DC1D-C352-412F-8707-13E971C1046F}">
      <text>
        <r>
          <rPr>
            <sz val="9"/>
            <color indexed="81"/>
            <rFont val="Tahoma"/>
            <family val="2"/>
          </rPr>
          <t xml:space="preserve">REGISTRAR 1 EN CASO DE CUMPLIMIENTO </t>
        </r>
      </text>
    </comment>
    <comment ref="F17" authorId="0" shapeId="0" xr:uid="{39582766-3222-46E6-85FC-212B43EDE05E}">
      <text>
        <r>
          <rPr>
            <sz val="9"/>
            <color indexed="81"/>
            <rFont val="Tahoma"/>
            <family val="2"/>
          </rPr>
          <t xml:space="preserve">REGISTRARCERO SI NO CUMPLE 
</t>
        </r>
      </text>
    </comment>
  </commentList>
</comments>
</file>

<file path=xl/sharedStrings.xml><?xml version="1.0" encoding="utf-8"?>
<sst xmlns="http://schemas.openxmlformats.org/spreadsheetml/2006/main" count="568" uniqueCount="315">
  <si>
    <t>OBSERVACIONES</t>
  </si>
  <si>
    <t xml:space="preserve">UNIDAD AMBULATORIA  </t>
  </si>
  <si>
    <t>CRITERIOS DE CALIFICACION</t>
  </si>
  <si>
    <t xml:space="preserve">FECHA DE EVALUACIÓN </t>
  </si>
  <si>
    <t>CUMPLE</t>
  </si>
  <si>
    <t>NO CUMPLE</t>
  </si>
  <si>
    <t>NO APLICA</t>
  </si>
  <si>
    <t xml:space="preserve">NOMBRE DEL  PROFESIONAL </t>
  </si>
  <si>
    <t>ASPECTO EVALUADO</t>
  </si>
  <si>
    <t>CC:</t>
  </si>
  <si>
    <t>FECHA:</t>
  </si>
  <si>
    <t>EDAD:</t>
  </si>
  <si>
    <t>SEXO:</t>
  </si>
  <si>
    <t xml:space="preserve">CUMPLE </t>
  </si>
  <si>
    <t>EVALUACION DE LISTA DE CHEQUEO  MANEJO INTEGRAL DE ATENCION A LA DESNUTRICION AGUDA MODERADA RESOL. 2350 / 2020</t>
  </si>
  <si>
    <t xml:space="preserve"> MANEJO INTEGRAL DE ATENCION A LA DESNUTRICION AGUDA MODERADA RESOL. 2350 / 2020</t>
  </si>
  <si>
    <t xml:space="preserve">CALIFICACION TOTAL </t>
  </si>
  <si>
    <t>La IPS   que  Cumple  y  requiere mantenimiento  en  la calidad del  programa</t>
  </si>
  <si>
    <t xml:space="preserve">LA IPS  cumple  de manera parcial y requiere de manera prioritariagenerar   acciones de mejora  para adherirse a los lineamientos de atencion </t>
  </si>
  <si>
    <t>Muy crítico  igual o menor al 50%</t>
  </si>
  <si>
    <t xml:space="preserve">LA IPS no  cumple y requiere de manera urgente reestructurar  acciones de mejora  para adherirse a los lineamientos de atencion </t>
  </si>
  <si>
    <t>DETECCIÓN E IDENTIFICACIÓN DE CASOS DE NIÑOS DE CERO (0) A 59 MESES CON DESNUTRICIÓN AGUDA.</t>
  </si>
  <si>
    <t>¿Se realiza la medición y registro en HC del perímetro de brazo? (en menores de 6 meses a 5 años)</t>
  </si>
  <si>
    <t>¿Se registra valor de desviacion  estándar del inidicador, clasificación nutricional y se analizan en HC todos los indicadores para la clasificación antropométrica de niños y niñas &lt;5 años en la valoración individual? (P/T, T/E, PC/E), Importante se registra y se analiza el indicador trazador de desnutricionn aguda (peso-talla),y se analiza la tendecia de la curva de crecimiento del menor.</t>
  </si>
  <si>
    <t>¿En la HC se tiene disponible la curva de crecimiento del menor?,</t>
  </si>
  <si>
    <t>¿Se reporta de manera adecuada el diagnóstico nutricional en las historias clínicas?</t>
  </si>
  <si>
    <t>¿Si el diagnóstico es desnutrición aguda moderada o severa, se realiza la prueba de apetito ( a partir de los 6 meses)?</t>
  </si>
  <si>
    <t>¿Se define escenario manejo (ambulatorio u hospitalario)  cumpliendo con todos los criterios requeridos consignados en el lineamiento?</t>
  </si>
  <si>
    <t>¿Se realiza la medición y registro en HC del peso, talla y perímetro cefálico?
Nota: *El perímetro cefálico se debe tomar rutinariamente hasta los tres años de edad y de este momento en adelante, solo cuando el niño consulte por primera vez.</t>
  </si>
  <si>
    <t>Se realiza activación de la ruta de desnutrición aguda de forma adecuada?
Nota: se considera que se debe activar la ruta cuando:
1. Clasificación de indicador antropométrico peso para la talla, con Z-score superior a -2 D.E.
2. No se incluyan niños recién nacidos con bajo peso al nacer que se encuentren en programa canguro.
3. Desnutrición aguda de etiología primaria.</t>
  </si>
  <si>
    <t>EXAMEN FISICO</t>
  </si>
  <si>
    <t>¿Se valora el estado de conciencia, de hidratación, aceptación de vía oral, signos de pérdida de peso, como la disminución de masa muscular o de grasa subcutánea (extremidades, mejillas, glúteos, cuello), y se describen signos que indiquen déficit de micronutrientes como:  conjuntiva pálida, manchas de Bitot, Estomatitis angular, queilitis, glositis, encías hipertróficas y sangrantes, aumento de , tamaño de parótidas, Esmalte moteado, erupción tardía, Atrofia de cabello, piel Seca, dermatosis, Uñas y Coiloniquia, etc.?</t>
  </si>
  <si>
    <t>¿Se realiza valoración de edema y se registra en HC?</t>
  </si>
  <si>
    <t xml:space="preserve">TRATAMIENTO </t>
  </si>
  <si>
    <t>¿Se realiza formulación de la FTLC Plumpynut acorde a lo establecido en la Resolución 2350 de 2020?</t>
  </si>
  <si>
    <t>¿la IPS realiza seguimiento de la entrega de e la FTLC en los tiempos establecidos?</t>
  </si>
  <si>
    <t>¿Se entregan y registran en HC las recomendaciones de alimentación?</t>
  </si>
  <si>
    <t>¿Se entregan y registran en HC las recomendaciones de signos de alarma para consultar por urgencias?</t>
  </si>
  <si>
    <t xml:space="preserve">EGRESO Y SEGUIMIENTO IPS </t>
  </si>
  <si>
    <t>¿Se entregan órdenes de control por pediatría, nutrición, enfermería y medicina general?</t>
  </si>
  <si>
    <t>¿El paciente asiste a control por pediatría a los 5 días (&lt; 6 meses) o 8 días (&gt; 6 meses)?</t>
  </si>
  <si>
    <t>¿El paciente asiste a control por nutrición a los 15 días?</t>
  </si>
  <si>
    <t>¿El paciente asiste a control por medicina general a los 30 días?</t>
  </si>
  <si>
    <t>¿Se realiza prueba de apetito en cada control de seguimiento del paciente y se registra en HC?</t>
  </si>
  <si>
    <t xml:space="preserve">REQUERIMIENTOS ESENCIALES DE TALENTO HUMANO, EQUIPOS, INSUMOS Y MATERIALES  </t>
  </si>
  <si>
    <t xml:space="preserve">Los profesionales involucrados en el manejo de la desnutrición aguda han recibido capacitación en resolución 2350 de 2020 y 2465 de 2016. </t>
  </si>
  <si>
    <t xml:space="preserve"> SISTEMA DE INFORACIÓN</t>
  </si>
  <si>
    <t>¿Realiza notificación al evento 113 de forma super inmediata o inmediata de acuerdo al protocolo del INS?
Nota: Aplican para notificación súper inmediata si cumplen las siguientes  condiciones:
• Menores de 6 meses de edad
• Presentación de edema
• Reincidentes
• Presentación de perímetro braquial inferior a 11,5 cm ( niños entre los 6 a 59 meses)
• Aquellos que presenten prueba de apetito negativa.</t>
  </si>
  <si>
    <t>¿Diligencia todas las variables solicitadas en los formatos?</t>
  </si>
  <si>
    <t>¿Cuenta con calidad del dato en los formatos establecidos por el Departamento y Municipio?</t>
  </si>
  <si>
    <t>¿Realiza seguimiento a los casos identificados  y lo evidencia?</t>
  </si>
  <si>
    <t>EVALUACION DE LISTA DE CHEQUEO RESOLUCION 2465 DE 2016</t>
  </si>
  <si>
    <t xml:space="preserve"> RESOLUCION 2465 DE 2016</t>
  </si>
  <si>
    <t xml:space="preserve">COMPONENTE INDICADORES </t>
  </si>
  <si>
    <t>1.8 ¿La calibración de equipos está vigente (no mayor a 1 año)?</t>
  </si>
  <si>
    <t>1.1 ¿Los pesabebés utilizados para la atención están disponibles en todos los consultorios donde se atienden menores de 2 años, y cuentan con las siguientes características?:
Pesabebé: Capacidad: 20 - 25 kilos, Precisión: 10 a 20g, Mecanismo: electrónica, digital o de brazo mecánica.</t>
  </si>
  <si>
    <t>1.2 ¿Los infantométros utilizados para la atención están disponibles en todos los consultorios donde se atienden menores de 2 años, y cuentan con las siguientes carcaterísticas?: 
Infantómetro: Precisión de 1 mm. Capacidad de 110 a 120 cm. Material de fabricación: Resistente, liviano y no deformable. Sistema rodante, no inestable Cinta métrica metálica, ubicada a un lado y no en la mitad del equipo. Garantizar 90 grados espaldar, con una base de 25 cm de ancho y pieza móvil rodante. Que le permita al niño o niña acostarse?. No se recomienda el uso de infantómetro en materiales susceptibles a (dilatación) en diferentes ambientes (Temperatura).</t>
  </si>
  <si>
    <t>1.3 ¿Los tallímetros utilizados para la atención están disponibles en todos los consultorios donde se toman medidas antropométricas y cuentan con las siguientes carcaterísticas?: 
Tallímetro en un material Resistente Liviano y no deformable. Capacidad de dos (2) metros, Sensibilidad 1mm. Si es tallímetro se recomienda una base de 25 cm de ancho. No se recomienda el uso de metros de modistería, cintas métricas, de papel o plástico, adheridos a la pared. No se recomienda el uso del tallímetro con balanzas mecánicas.</t>
  </si>
  <si>
    <t>1.4 ¿Las basculas utilizadas para la atención están disponibles en todos los consultorios donde se toman medidas antropométricas y cuentan con las siguientes características?:
Balanza de pie: Capacidad: 120 a 150 kg. Precisión: ideal 50 gr, máximo 100 gr. Mecanismo: Digital o mecánica con único uso para peso no para medir talla (sin metro).</t>
  </si>
  <si>
    <t>1.5 ¿Las cintas métricas utilizadas para la atención están disponibles en todos los consultorios donde se toman medidas antropométricas y cuentan con las siguientes características?:
Debe ser en un material flexible, inextensible e impermeable, con divisiones cada 1mm. Es aconsejable que la cinta mida máximo 0.5 cm de ancho debido a que pueden presentarse errores de medición en el punto de superposición de los dos extremos de la cinta.</t>
  </si>
  <si>
    <t>1.6 ¿Las curvas de crecimiento usadas para la clasificación nutricional están acordes a la resolución 2465 de 2016 y cuentan con las siguientes características?: 
Las líneas de puntuación Z de las curvas de crecimiento están enumeradas
positivamente (+1, +2, +3) o negativamente (−1, −2, -3).</t>
  </si>
  <si>
    <t>1.7 ¿La institución cuenta con un protocolo de mantenimiento y calibración de equipos?
Norma NTC GP 1000; 2008, numeral 7.6 y Norma NTC ISO 9001: 2008</t>
  </si>
  <si>
    <t>COMPONENTE FORMACIÓN</t>
  </si>
  <si>
    <r>
      <t xml:space="preserve">1.9 ¿El consultorio para la cita de valoración, promoción y apoyo de la lactancia materna cuenta con los instrumentos, insumos y dispositivos requeridos en la resolución 3280/2018? 
</t>
    </r>
    <r>
      <rPr>
        <i/>
        <sz val="11"/>
        <color theme="1"/>
        <rFont val="Arial"/>
        <family val="2"/>
      </rPr>
      <t>Instrumentos, insumos y dispositivos</t>
    </r>
    <r>
      <rPr>
        <sz val="11"/>
        <color theme="1"/>
        <rFont val="Arial"/>
        <family val="2"/>
      </rPr>
      <t xml:space="preserve">
1. Carné de salud infantil. 
2. Instrumento de valoración de la técnica de la lactancia materna. 
3. Modelos de pecho para educación en lactancia materna, 
4. Modelos de instrumentos para extracción de la leche materna (bombas extractora, botella caliente), 
5. Modelos de instrumentos para almacenamiento (frascos de vidrio, bolsas para almacenamiento de LM).</t>
    </r>
  </si>
  <si>
    <t>1.1  ¿El 100% de los profesionales en salud (Médicos, pediatras, nutricionistas, enfermeras) que atienden a niños y niñas menores de 5 años están capacitados en la resolución 2465/2016?</t>
  </si>
  <si>
    <t>1.2 ¿La capacitación en patrones de referencia acorde a la Resolución 2465 de 2016 se incluye dentro del programa de inducción y reinducción?</t>
  </si>
  <si>
    <t>1.5 ¿Las gráficas se encuentran impresas en tamaño de media hoja oficio, con el fin de garantizar una correcta ubicación de las variables de peso, talla y edad y permitir un adecuado seguimiento en los controles?</t>
  </si>
  <si>
    <t>Satisfactorio del 85% al 100%</t>
  </si>
  <si>
    <t>Aceptable 70% al 84%</t>
  </si>
  <si>
    <t>La IPS requiere intensificar el  mejoramiento de los aspectos deficientes identificados en el programa</t>
  </si>
  <si>
    <t>Crítico: Entre 50%-69%</t>
  </si>
  <si>
    <t>Cuenta con disposición de FTLC para la realización de prueba de apetito, acorde con la resolución de manejo de atención a la DNT aguda moderada y severa.</t>
  </si>
  <si>
    <t>PROCENTAJE A CALIFICAR</t>
  </si>
  <si>
    <t>PROCENATAJE DE CUMPLIMENTO</t>
  </si>
  <si>
    <t>Muy crítico  igual o menor al 49%</t>
  </si>
  <si>
    <t xml:space="preserve">EDAD: </t>
  </si>
  <si>
    <t xml:space="preserve">CC: </t>
  </si>
  <si>
    <t xml:space="preserve">FECHA: </t>
  </si>
  <si>
    <t xml:space="preserve">Nombre, cargo,teléfono, correo electrónico, de la persona idonea (Psicologo, lider en salud publica), que de manera  permanente asistirá y que garantice las actuaciones de la IPS en el comité de salud mental </t>
  </si>
  <si>
    <t>Garantizar la asistencia a comite de salud mental y demás instancias de participación en las cuales tengan presencia.</t>
  </si>
  <si>
    <t>Quienes conforman el equipo interdisciplinario y funciones dentro de la atención en salud mental. # de profesiones que forman parte del equipo interdisciplinario :  # Médicos entrenados en Salud mental, # Enfermeras  entrenadas en Salud Mental, # Psiquiatras, # Psicologos, # Terapeutas Ocupacionales,  # Trabajadores Sociales, # Neurologos, #  Neuropsicologas, otros (numero de horas)</t>
  </si>
  <si>
    <t xml:space="preserve">Fortalecimiento de los equipos interdisciplinarios para la atención en salud mental, PcD y VCA "Curso de atencion psicosocial y salud integral para los profesionales que atienden la poblacion victima". manejo plataformas correspondientes. </t>
  </si>
  <si>
    <t xml:space="preserve">Fichas de notificación diligenciadas y enviadas correctamente, reporte PyD, reportes de  politica publica de salud mental y demas que sean solicitados por secretaria de salud para verificación . </t>
  </si>
  <si>
    <t>Fortalecimiento en el reporte de pacientes incluyendo a la PVC, Fichas de Sivigila y requerimientos de secretaria de salud.</t>
  </si>
  <si>
    <t>Garantizar la continuidad de la atención para la optimización de tratamientos. Mantener un monitoreo regular del proceso y brindar  la informacion pertinente para seguimiento.</t>
  </si>
  <si>
    <t xml:space="preserve">Asegurar la continuidad de las atenciones especializadas en segundo y tercer nivel de los usuarios con diagnosticos psiquiatricos, consumo de SPA y Discapacidad.  </t>
  </si>
  <si>
    <t>Verificación de estrategia de promoción establecida dentro de la IPS (actas, actividades, tiempos), dirigidas a NNA, Mujeres, Adulto Mayor, entre otras.</t>
  </si>
  <si>
    <t xml:space="preserve">Procesos de promoción del cuidado de la salud mental de toda la población, incluyendo PcD y VCA a través de programas, proyectos y servicios. </t>
  </si>
  <si>
    <t>Verificación de estrategia de divulgación  de derechos en salud mental dentro de IPS, Actas, Actividades entre otras.</t>
  </si>
  <si>
    <t>Divulgación y protección de los derechos en salud mental, derechos de la PcD y VCA. Derivando a los servicios de salud que preste la eps desligando a todos los servidcios.</t>
  </si>
  <si>
    <t>Convenios con Instituciones de rehabilitación. 
Identificación de factores de riesgo y protección. 
Tipo de sustancia de impacto.
Consentimiento informado que contenga: tipo de tratamiento ofrecido por la IPS incluyendo riesgos y beneficios, alternativas de tratamiento, eficacia de tratamiento ofrecido, duración de tratamiento,  derechos del usuario.</t>
  </si>
  <si>
    <r>
      <t xml:space="preserve">Cumplimiento satisfactorio a la normatividad relacionada con consumo de SPA ley 1566 del 2012, acciones de prevención indicada, diagnóstico, atención, tratamiento y rehabilitación, </t>
    </r>
    <r>
      <rPr>
        <b/>
        <sz val="11"/>
        <rFont val="Arial"/>
        <family val="2"/>
      </rPr>
      <t>redes integrales de prestadores</t>
    </r>
  </si>
  <si>
    <t>Garantías de acceso oportuno a los servicios de salud y atención en salud mental.</t>
  </si>
  <si>
    <t>Todas las entidades públicas o privadas atenderán de manera prioritaria a las personas con discapacidad y vulnerabilidad, en los casos de turnos o filas de usuarios de cualquier tipo de servicio público o abierto al público.</t>
  </si>
  <si>
    <t>Acciones de atención especial y prioritaria.</t>
  </si>
  <si>
    <t>Servicios de habilitación y rehabilitación para personas con discapacidad y mantener mecanismos de apoyo con sus familias (Implentación de servicios de asistencia domiciliaria, residencial y otros servicios de apoyo, incluida la asistencia personal necesaria para garantizar su vida digna e inclusion en la comunidad).</t>
  </si>
  <si>
    <t xml:space="preserve">Acciones y programas de promoción prevención y detección temprana a madres gestantes de alto riesgo, niños, niñas y adolescentes, servicios de habilitación y rehabilitación. 
</t>
  </si>
  <si>
    <t>Establecer programas de detección precoz de discapacidad y atención temprana para los niños y niñas que durante la primera infancia tengan alto riesgo para adquirir una discapacidad o con discapacidad.</t>
  </si>
  <si>
    <t>No. de evaluación psicologica de trastornos mentales (Esquizofrenia, trastornos del estado del ánimo, trastornos alimenticios, trastornos de personalidad), exámenes de laboratorio, exámen para detección del consumo de SPA, examenes neurologicos, entre otros.</t>
  </si>
  <si>
    <t xml:space="preserve">Porcentaje de personas con diagnóstico presuntivo que accedieron a exámenes especializados  necesarios para su diagnóstico y tratamiento en salud mental y epilepsia incluyendo a la PVC. </t>
  </si>
  <si>
    <r>
      <t xml:space="preserve">No. de dias de espera para la atención  
No. de casos que se atienden. 
No. de citas de seguimiento asignadas.
 </t>
    </r>
    <r>
      <rPr>
        <b/>
        <sz val="11"/>
        <rFont val="Arial"/>
        <family val="2"/>
      </rPr>
      <t xml:space="preserve">Barreras en la asignación de citas y atención dentro del municipio que se identifiquen.
</t>
    </r>
    <r>
      <rPr>
        <sz val="11"/>
        <rFont val="Arial"/>
        <family val="2"/>
      </rPr>
      <t xml:space="preserve">Verificar el correo electrónico al que se deben remisionar casos prioritarios de Secretaria de Salud,  generación de numero de radicado o recibido por parte de la IPS para seguimiento. </t>
    </r>
  </si>
  <si>
    <r>
      <t>Verificar la asignación oportuna de citas para los servicios de baja complejidad en la atención integral en salud mental, PcD, VCA y epilepsia de las personas dentro del municipio (</t>
    </r>
    <r>
      <rPr>
        <b/>
        <sz val="11"/>
        <rFont val="Arial"/>
        <family val="2"/>
      </rPr>
      <t>La asignación de las citas de psicología y trabajo social, no podrá exceder los tres (3) días hábiles, contados a partir de la solicitud.</t>
    </r>
    <r>
      <rPr>
        <sz val="11"/>
        <rFont val="Arial"/>
        <family val="2"/>
      </rPr>
      <t>)</t>
    </r>
  </si>
  <si>
    <t>Verificar categorias de discapacidad en las Historias Clinicas diferenciales, categoria psicosocial.</t>
  </si>
  <si>
    <t>Incorporar la variable PcD, VCA y poblaciones diferencialesen sus registros administrativos garantizando acceso oportuno a los servicios de salud.
Clacificando los 7 tipos de discapacidades en las historias clinicas; fisica, visula, auditiva, itelectual, psicosocial. Sordoseguera y mutiple.</t>
  </si>
  <si>
    <t xml:space="preserve">Protocolos de atención, diagramas de flujo, acciones desde la IPS,su implementación y cumplimiento.
</t>
  </si>
  <si>
    <t>Implementación de las RIAS (Violencia de género, Riesgo Suicida, Consumo SPA, VCA,  PcD, Epilepsia (involucrando ruta de certificacion de discapacidad del municipio).</t>
  </si>
  <si>
    <t>ATENCIÓN INTEGRAL EN SALUD MENTAL IPS</t>
  </si>
  <si>
    <t xml:space="preserve">EVALUACION DE LISTA DE CHEQUEO ATENCIÓN INTEGRAL EN SALUD MENTAL </t>
  </si>
  <si>
    <t>EVALUACION DE LISTA DE CHEQUEO SALUD ORAL</t>
  </si>
  <si>
    <t xml:space="preserve"> SALUD ORAL</t>
  </si>
  <si>
    <t xml:space="preserve">SEXO: </t>
  </si>
  <si>
    <t>DESCRIPCION DEL PROCEDIMIENTO</t>
  </si>
  <si>
    <r>
      <rPr>
        <sz val="10"/>
        <color rgb="FF000000"/>
        <rFont val="Arial"/>
        <family val="2"/>
      </rPr>
      <t>Atencion en salud por odontologia:</t>
    </r>
    <r>
      <rPr>
        <sz val="9"/>
        <color rgb="FF000000"/>
        <rFont val="Arial"/>
        <family val="2"/>
      </rPr>
      <t xml:space="preserve">
-</t>
    </r>
    <r>
      <rPr>
        <b/>
        <sz val="9"/>
        <color rgb="FF000000"/>
        <rFont val="Arial"/>
        <family val="2"/>
      </rPr>
      <t xml:space="preserve"> PRIMERA INFANCIA (0-5 AÑOS):</t>
    </r>
    <r>
      <rPr>
        <sz val="9"/>
        <color rgb="FF000000"/>
        <rFont val="Arial"/>
        <family val="2"/>
      </rPr>
      <t xml:space="preserve"> 1 VEZ AL AÑO A PARTIR DE LOS 6 MESES 
- </t>
    </r>
    <r>
      <rPr>
        <b/>
        <sz val="9"/>
        <color rgb="FF000000"/>
        <rFont val="Arial"/>
        <family val="2"/>
      </rPr>
      <t xml:space="preserve">INFANCIA (6-11 AÑOS): </t>
    </r>
    <r>
      <rPr>
        <sz val="9"/>
        <color rgb="FF000000"/>
        <rFont val="Arial"/>
        <family val="2"/>
      </rPr>
      <t>1 VEZ AL AÑO</t>
    </r>
    <r>
      <rPr>
        <b/>
        <sz val="9"/>
        <color rgb="FF000000"/>
        <rFont val="Arial"/>
        <family val="2"/>
      </rPr>
      <t xml:space="preserve"> </t>
    </r>
    <r>
      <rPr>
        <sz val="9"/>
        <color rgb="FF000000"/>
        <rFont val="Arial"/>
        <family val="2"/>
      </rPr>
      <t xml:space="preserve">
</t>
    </r>
    <r>
      <rPr>
        <b/>
        <sz val="9"/>
        <color rgb="FF000000"/>
        <rFont val="Arial"/>
        <family val="2"/>
      </rPr>
      <t xml:space="preserve">- ADOLESCENCIA 12- 17 AÑOS: </t>
    </r>
    <r>
      <rPr>
        <sz val="9"/>
        <color rgb="FF000000"/>
        <rFont val="Arial"/>
        <family val="2"/>
      </rPr>
      <t>1 VEZ AL AÑO</t>
    </r>
    <r>
      <rPr>
        <b/>
        <sz val="9"/>
        <color rgb="FF000000"/>
        <rFont val="Arial"/>
        <family val="2"/>
      </rPr>
      <t xml:space="preserve"> </t>
    </r>
    <r>
      <rPr>
        <sz val="9"/>
        <color rgb="FF000000"/>
        <rFont val="Arial"/>
        <family val="2"/>
      </rPr>
      <t xml:space="preserve">
</t>
    </r>
    <r>
      <rPr>
        <b/>
        <sz val="9"/>
        <color rgb="FF000000"/>
        <rFont val="Arial"/>
        <family val="2"/>
      </rPr>
      <t xml:space="preserve">- JUVENTUD 18 -28 AÑOS: </t>
    </r>
    <r>
      <rPr>
        <sz val="9"/>
        <color rgb="FF000000"/>
        <rFont val="Arial"/>
        <family val="2"/>
      </rPr>
      <t xml:space="preserve"> 1 VEZ AL AÑO</t>
    </r>
    <r>
      <rPr>
        <b/>
        <sz val="9"/>
        <color rgb="FF000000"/>
        <rFont val="Arial"/>
        <family val="2"/>
      </rPr>
      <t xml:space="preserve"> </t>
    </r>
    <r>
      <rPr>
        <sz val="9"/>
        <color rgb="FF000000"/>
        <rFont val="Arial"/>
        <family val="2"/>
      </rPr>
      <t xml:space="preserve">
</t>
    </r>
    <r>
      <rPr>
        <b/>
        <sz val="9"/>
        <color rgb="FF000000"/>
        <rFont val="Arial"/>
        <family val="2"/>
      </rPr>
      <t xml:space="preserve">- ADULTEZ 29-59 AÑOS: </t>
    </r>
    <r>
      <rPr>
        <sz val="9"/>
        <color rgb="FF000000"/>
        <rFont val="Arial"/>
        <family val="2"/>
      </rPr>
      <t>1 VEZ CADA 2 AÑOS</t>
    </r>
    <r>
      <rPr>
        <b/>
        <sz val="9"/>
        <color rgb="FF000000"/>
        <rFont val="Arial"/>
        <family val="2"/>
      </rPr>
      <t xml:space="preserve">
- ADULTO MAYOR 60 AÑOS Y MAS: </t>
    </r>
    <r>
      <rPr>
        <sz val="9"/>
        <color rgb="FF000000"/>
        <rFont val="Arial"/>
        <family val="2"/>
      </rPr>
      <t>1 VEZ CADA 2 AÑOS</t>
    </r>
  </si>
  <si>
    <t>Historia clínica odontológica se debe contar con lo siguiente: Odontograma, instrumentos de clasificación de caries como ICDAS, Índices COP y COP-modificado (C(ICDAS)OP) para caries</t>
  </si>
  <si>
    <t xml:space="preserve">Registro de la valoración de las estructuras dentomaxilofaciales:
- Cara, - Ganglios linfáticos, - Maxilar y mandíbula, - Músculos, - ATM (articulación temporo-mandibular), - Labios (bermellones) y comisura labial, -  Mucosa de carrillos, - Encía y zona retromolar, - Lengua, - Piso de boca, - Paladar (duro y blando)
incluir registro de habitos como fumar y condicion sistemica del paciente </t>
  </si>
  <si>
    <t xml:space="preserve">Registro y evaluacion de la cantidad de placa bacteriana presente en la boca y aspectos relacionados con  la higiene bucal  </t>
  </si>
  <si>
    <t xml:space="preserve">PROCEDIMIENTO </t>
  </si>
  <si>
    <r>
      <rPr>
        <sz val="10"/>
        <color rgb="FF000000"/>
        <rFont val="Arial"/>
        <family val="2"/>
      </rPr>
      <t>Profilaxis y remocion de placa bacteriana</t>
    </r>
    <r>
      <rPr>
        <b/>
        <sz val="10"/>
        <color rgb="FF000000"/>
        <rFont val="Arial"/>
        <family val="2"/>
      </rPr>
      <t xml:space="preserve"> 
- </t>
    </r>
    <r>
      <rPr>
        <b/>
        <sz val="9"/>
        <color rgb="FF000000"/>
        <rFont val="Arial"/>
        <family val="2"/>
      </rPr>
      <t>PRIMERA INFANCIA (0-5 AÑOS)</t>
    </r>
    <r>
      <rPr>
        <sz val="9"/>
        <color rgb="FF000000"/>
        <rFont val="Arial"/>
        <family val="2"/>
      </rPr>
      <t xml:space="preserve">: 2 VECES AL AÑO CADA 6 MESES
</t>
    </r>
    <r>
      <rPr>
        <b/>
        <sz val="9"/>
        <color rgb="FF000000"/>
        <rFont val="Arial"/>
        <family val="2"/>
      </rPr>
      <t>- INFANCIA (6-11 AÑOS)</t>
    </r>
    <r>
      <rPr>
        <sz val="9"/>
        <color rgb="FF000000"/>
        <rFont val="Arial"/>
        <family val="2"/>
      </rPr>
      <t xml:space="preserve">:  2 VECES AL AÑO CADA 6 MESES
</t>
    </r>
    <r>
      <rPr>
        <b/>
        <sz val="9"/>
        <color rgb="FF000000"/>
        <rFont val="Arial"/>
        <family val="2"/>
      </rPr>
      <t>- ADOLESCENCIA 12- 17 AÑOS</t>
    </r>
    <r>
      <rPr>
        <sz val="9"/>
        <color rgb="FF000000"/>
        <rFont val="Arial"/>
        <family val="2"/>
      </rPr>
      <t xml:space="preserve">: 2 VECES AL AÑO 
</t>
    </r>
    <r>
      <rPr>
        <b/>
        <sz val="9"/>
        <color rgb="FF000000"/>
        <rFont val="Arial"/>
        <family val="2"/>
      </rPr>
      <t>- JUVENTUD 18 -28 AÑOS</t>
    </r>
    <r>
      <rPr>
        <sz val="9"/>
        <color rgb="FF000000"/>
        <rFont val="Arial"/>
        <family val="2"/>
      </rPr>
      <t xml:space="preserve">:  1 VEZ CADA  AÑO 
</t>
    </r>
    <r>
      <rPr>
        <b/>
        <sz val="9"/>
        <color rgb="FF000000"/>
        <rFont val="Arial"/>
        <family val="2"/>
      </rPr>
      <t>- ADULTEZ 29-59 AÑOS:</t>
    </r>
    <r>
      <rPr>
        <sz val="9"/>
        <color rgb="FF000000"/>
        <rFont val="Arial"/>
        <family val="2"/>
      </rPr>
      <t xml:space="preserve"> 1 VEZ CADA 2 AÑOS
</t>
    </r>
    <r>
      <rPr>
        <b/>
        <sz val="9"/>
        <color rgb="FF000000"/>
        <rFont val="Arial"/>
        <family val="2"/>
      </rPr>
      <t>- ADULTO MAYOR 60 AÑOS Y MAS:</t>
    </r>
    <r>
      <rPr>
        <sz val="9"/>
        <color rgb="FF000000"/>
        <rFont val="Arial"/>
        <family val="2"/>
      </rPr>
      <t xml:space="preserve"> 1 VEZ CADA 2 AÑOS</t>
    </r>
  </si>
  <si>
    <r>
      <t xml:space="preserve">Aplicación baniz de fluor 
</t>
    </r>
    <r>
      <rPr>
        <sz val="9"/>
        <color rgb="FF000000"/>
        <rFont val="Arial"/>
        <family val="2"/>
      </rPr>
      <t xml:space="preserve">- </t>
    </r>
    <r>
      <rPr>
        <b/>
        <sz val="9"/>
        <color rgb="FF000000"/>
        <rFont val="Arial"/>
        <family val="2"/>
      </rPr>
      <t>PRIMERA INFANCIA (0-5 AÑOS)</t>
    </r>
    <r>
      <rPr>
        <sz val="9"/>
        <color rgb="FF000000"/>
        <rFont val="Arial"/>
        <family val="2"/>
      </rPr>
      <t xml:space="preserve">: A PARTIR DEL AÑO CADA 6 MESES
</t>
    </r>
    <r>
      <rPr>
        <b/>
        <sz val="9"/>
        <color rgb="FF000000"/>
        <rFont val="Arial"/>
        <family val="2"/>
      </rPr>
      <t>- INFANCIA (6-11 AÑOS):</t>
    </r>
    <r>
      <rPr>
        <sz val="9"/>
        <color rgb="FF000000"/>
        <rFont val="Arial"/>
        <family val="2"/>
      </rPr>
      <t xml:space="preserve">  2 VECES AL AÑO 
</t>
    </r>
    <r>
      <rPr>
        <b/>
        <sz val="9"/>
        <color rgb="FF000000"/>
        <rFont val="Arial"/>
        <family val="2"/>
      </rPr>
      <t>- ADOLESCENCIA 12- 17 AÑOS:</t>
    </r>
    <r>
      <rPr>
        <sz val="9"/>
        <color rgb="FF000000"/>
        <rFont val="Arial"/>
        <family val="2"/>
      </rPr>
      <t xml:space="preserve"> 2 VECES AL AÑO </t>
    </r>
  </si>
  <si>
    <r>
      <t xml:space="preserve">Aplicación sellantes: 
</t>
    </r>
    <r>
      <rPr>
        <b/>
        <sz val="9"/>
        <color rgb="FF000000"/>
        <rFont val="Arial"/>
        <family val="2"/>
      </rPr>
      <t xml:space="preserve"> - PRIMERA INFANCIA (0-5 AÑOS)</t>
    </r>
    <r>
      <rPr>
        <sz val="9"/>
        <color rgb="FF000000"/>
        <rFont val="Arial"/>
        <family val="2"/>
      </rPr>
      <t xml:space="preserve">: A PARTIR DE LOS 3 AÑOS SEGÚN CRITERIO DEL ODONTOLOGO 
</t>
    </r>
    <r>
      <rPr>
        <b/>
        <sz val="9"/>
        <color rgb="FF000000"/>
        <rFont val="Arial"/>
        <family val="2"/>
      </rPr>
      <t>- INFANCIA (6-11 AÑOS):</t>
    </r>
    <r>
      <rPr>
        <sz val="9"/>
        <color rgb="FF000000"/>
        <rFont val="Arial"/>
        <family val="2"/>
      </rPr>
      <t xml:space="preserve">  SEGÚN CRITERIO DOE ODONTOLOGO
</t>
    </r>
    <r>
      <rPr>
        <b/>
        <sz val="9"/>
        <color rgb="FF000000"/>
        <rFont val="Arial"/>
        <family val="2"/>
      </rPr>
      <t>- ADOLESCENCIA 12- 17 AÑOS</t>
    </r>
    <r>
      <rPr>
        <sz val="9"/>
        <color rgb="FF000000"/>
        <rFont val="Arial"/>
        <family val="2"/>
      </rPr>
      <t xml:space="preserve">: HASTA LOS 15 AÑOS SEGÚN NECESIDAD  </t>
    </r>
  </si>
  <si>
    <r>
      <t xml:space="preserve">Detartraje supragingival 
</t>
    </r>
    <r>
      <rPr>
        <b/>
        <sz val="9"/>
        <color rgb="FF000000"/>
        <rFont val="Arial"/>
        <family val="2"/>
      </rPr>
      <t>- ADOLESCENCIA 12- 17 AÑOS</t>
    </r>
    <r>
      <rPr>
        <sz val="9"/>
        <color rgb="FF000000"/>
        <rFont val="Arial"/>
        <family val="2"/>
      </rPr>
      <t xml:space="preserve">: SEGÚN NECESIDAD  
</t>
    </r>
    <r>
      <rPr>
        <b/>
        <sz val="9"/>
        <color rgb="FF000000"/>
        <rFont val="Arial"/>
        <family val="2"/>
      </rPr>
      <t>- JUVENTUD 18 -28 AÑOS:</t>
    </r>
    <r>
      <rPr>
        <sz val="9"/>
        <color rgb="FF000000"/>
        <rFont val="Arial"/>
        <family val="2"/>
      </rPr>
      <t xml:space="preserve">  SEGÚN NECESIDAD 
</t>
    </r>
    <r>
      <rPr>
        <b/>
        <sz val="9"/>
        <color rgb="FF000000"/>
        <rFont val="Arial"/>
        <family val="2"/>
      </rPr>
      <t>- ADULTEZ 29-59 AÑOS:</t>
    </r>
    <r>
      <rPr>
        <sz val="9"/>
        <color rgb="FF000000"/>
        <rFont val="Arial"/>
        <family val="2"/>
      </rPr>
      <t xml:space="preserve"> SEGÚN NECESIDAD
</t>
    </r>
    <r>
      <rPr>
        <b/>
        <sz val="9"/>
        <color rgb="FF000000"/>
        <rFont val="Arial"/>
        <family val="2"/>
      </rPr>
      <t>- ADULTO MAYOR 60 AÑOS Y MAS:</t>
    </r>
    <r>
      <rPr>
        <sz val="9"/>
        <color rgb="FF000000"/>
        <rFont val="Arial"/>
        <family val="2"/>
      </rPr>
      <t xml:space="preserve"> SEGÚN NECESIDAD</t>
    </r>
  </si>
  <si>
    <t xml:space="preserve">INFORMACION PARA A SALUD </t>
  </si>
  <si>
    <t>Educacion individual
Educacion familiar
Educacion grupal                                                                                                                                                                                                                                                         según valoracion y criterio del Odontologo</t>
  </si>
  <si>
    <t xml:space="preserve">SISTEMA DE INFORMACION </t>
  </si>
  <si>
    <t>Identificar la persona encargada de la realización y del envío de los informes. Anotar el nombre y el cargo, dirección de correo electrónico y teléfono.</t>
  </si>
  <si>
    <t>Revisar las fechas de envío de los tres ultimos informes correpondientes a SISOC y RIAS y el correo al cuál se esta enviando.(errores en los reportes, en los formatos, reporte inexistente o  no se esta reportando.) Anotar fechas de envio de los ultimos 3 reportes.Correcto diligenciamiento  de los formatos.</t>
  </si>
  <si>
    <t>Verificar en las  Historias Clínicas evaluadas si el paciente valorado y diagnosticado por el servicio de odontologia por primera vez  fue relacionado si el paciente fué relacionado en la matriz SISOC de reporte mensual (anotar el número de la HC).</t>
  </si>
  <si>
    <t>Demanda inducida efectiva; Verificar evolución de los pacientes canalizados a la IPS, lo cuál se debe evidenciar con anotación en Historia Clínica y comparando con el registro de pacientes canalizados.</t>
  </si>
  <si>
    <t>Verificar el cumplimiento de la convocatoria en la realizacion de Jornadas  de aplicacion de barniz de fluor  profilaxis y educacion en higiene oral que estan programadas de manera mensual, Verificar canales de divulgación, cronograma de actividades, se debe evidenciar con registros de poblacion atendida, registros  fotograficos y la correcta carnetización de los pacientes atendidos en la estrategia Zipaquirá más sonriente, asi como el envio de la envidencia a la Secretaria de Salud. Anotar observaciones</t>
  </si>
  <si>
    <t>Solicitar evidencia de reporte de la resolución 202 de 2021. RIAS de envio mensual. (Socializar copia del envío de este reporte y archivo adjunto al correo de secretaria de salud)</t>
  </si>
  <si>
    <t xml:space="preserve">LA IPS  cumple  de manera parcial y requiere de manera prioritaria generar   acciones de mejora  para adherirse a los lineamientos de atencion </t>
  </si>
  <si>
    <t>Se Cuenta con Kardex de atencion de CCV y  pruebas ADN-VPH</t>
  </si>
  <si>
    <t>SISTEMA DE INFORMACIÓN</t>
  </si>
  <si>
    <t>Cuenta y conoce con los protocolos de embalaje para entrega de muestras para lectura?</t>
  </si>
  <si>
    <t>La IPS mantiene stop de citokits</t>
  </si>
  <si>
    <t>El consultorio cuenta con camilla ginecologica y baño que permita la privacidad de la usuaria?</t>
  </si>
  <si>
    <t>La IPS cuenta con un consultorio adecuado o exclusivo para la toma de citología y pruebas ADN-VPH?</t>
  </si>
  <si>
    <t xml:space="preserve"> VERIFICACIÓN EXCLUSIVA PARA TOMA DE CCV Y ADN/VPH</t>
  </si>
  <si>
    <t>Revisa, interpreta y selecciona los informes de resultados negativos de las pruebas ADN-VPH y citología, gestionar la entrega de los resultados en un tiempo no mayor a 15 días?</t>
  </si>
  <si>
    <t>Recepciona y verifica que los resultados de la citología y pruebas ADN-VPH entregados por el laboratorio centralizado (concordancia del número de pruebas enviadas frente al número de resultados entregados).'</t>
  </si>
  <si>
    <t>Realiza los procedimientos de control de calidad interno y externo conforme las directrices vigentes y las que serán expedidas por la entidad competente.</t>
  </si>
  <si>
    <t>El tiempo transcurrido entre la toma y recepción de la muestra en el laboratorio no supera los cinco (5) días.?</t>
  </si>
  <si>
    <t>La IPS Almacena, embala y entrega las láminas de citología y pruebas ADN - VPH, los formularios de toma de muestra, cumpliendo los protocolos y manuales establecidos por el laboratorio centralizado</t>
  </si>
  <si>
    <t>CONTROL DE LAS MUESTRAS</t>
  </si>
  <si>
    <t>Educa  en factores de riesgo para cáncer de cuello uterino, medidas de prevención primaria (vacunación contra el VPH) y finalidad de las actividades de tamización?</t>
  </si>
  <si>
    <t>Si los resultados de la tamizacion son positivos se brinda asesoria y educacion en derechos reproductivos, prevencion de ITS e importancia de continuar con el proceso para confirmacion diagnostica</t>
  </si>
  <si>
    <t>Informa sobre el virus del papiloma humano VPH como infección de transmisión sexual y agente relacionado con el desarrollo de cáncer de cuello uterino.?</t>
  </si>
  <si>
    <t>EDUCACIONEN SALUD</t>
  </si>
  <si>
    <t>Verifica que a las mujeres mayores de 65 años se suspende la tamización para cáncer de cuello uterino, siempre y cuando las pruebas de tamización previas, en los últimos cinco años, específicamente las del ADN-VPH tengan resultado negativo</t>
  </si>
  <si>
    <t xml:space="preserve">Ante reporte en calidad de la muestra insatisfactoria se cita a la usuaria de tres a cuatro semanas siguientes con el fin de reepitelizacion del cuello uterino y se registra en la historia clinica </t>
  </si>
  <si>
    <t>Ante diagnostico de Cáncer confirmado por biopsia se continúa realizando seguimiento a la usuaria registrado en la historía clínica</t>
  </si>
  <si>
    <t xml:space="preserve">Se registra en la HC las atenciones de colposcopia y biopsia con sus correspondientes fechas y resultados. </t>
  </si>
  <si>
    <t>Ante resultado de prueba de ADN-VPH positiva, pero la citología es negativa, la usuaria es citada a un control con prueba de ADN VPH en 18 meses</t>
  </si>
  <si>
    <t>Ante resultado positivo de colposcopia, se deriva a ruta integral de atencion para poblacion con riesgo o presencia de cancer</t>
  </si>
  <si>
    <t xml:space="preserve">Asignacion de cita de colposcopia y Biopsia en un tiepo no mayor a 30 dias </t>
  </si>
  <si>
    <t xml:space="preserve">Lectura y entrega de  reultado Cumple con el  tiempo entre el resultado de la citologia  positiva, en un tiempo no mayor a 2 semanas. </t>
  </si>
  <si>
    <t>RESULTADOS POSITIVOS  CITOLOGIAS</t>
  </si>
  <si>
    <t>Si al realizar la prueba de tamizaje se identifica infecciones vaginales o si la usuaria refiere síntomas sugestivos de infeccion vaginal, el profesional brinda educacion y remite a una consulta resolutiva por profesional de medicina.</t>
  </si>
  <si>
    <t>En pacientes mayores de 65 años se suspende la tamizacion teniendo en cuenta que las pruebas en los ultimos 5 años sean nagativas</t>
  </si>
  <si>
    <t>Al momento de realizar la inspeccion de cuello uterino a paciente mayor de 65 años por medio de especuloscopia, se identifican signos que sugieren carcinoma infiltrnate, se informa a la paciente, se genera alerta en el sistema, se gestiona la toma de colposcopia en un tiempo no mayor a 1 semana y se registra en la historia clinica</t>
  </si>
  <si>
    <t>Se consideran antecedente y/o factores de riesgo como edad de inicio de relaciones sexuales antes de los 15 años, multiparidad y multiples parejas sexuales al momento de realizar la tamizacion</t>
  </si>
  <si>
    <t>Se realiza busqueda activa, se gestiona consulta por medicina general o enfermeria en un tiempo no mayor a a1 semana y se registra en historia clinica</t>
  </si>
  <si>
    <t>Se registra en la historia clinica el resultado anormal de colposcopia con citologia positiva, asi como la fecha de recepcion del resultado, fecha de realizacion de la colposcopia, si se realizo o no biopsia, informe de la colposcopia y fecha de resultado de la biospia</t>
  </si>
  <si>
    <t>Se realiza la notificación obligatoria al Sivigila de resultado positivo en la biopsia acorde al protocolo para la vigilancia del evento y se registra en la historia clinica</t>
  </si>
  <si>
    <t>PROCEDIMIENTO</t>
  </si>
  <si>
    <t>Se Insiste y registra en la HC sobre la importancia de reclamar el resultado</t>
  </si>
  <si>
    <t>Informa que ante resultados de pruebas de tamización positivas es necesario 
realizar pruebas confirmatorias (colposcopia + biopsia)</t>
  </si>
  <si>
    <t>Aclara que un resultado positivo de VPH en la prueba de tamización no es 
igual a un diagnóstico de cáncer?</t>
  </si>
  <si>
    <t xml:space="preserve"> Informa posibles conductas según resultados de las pruebas de tamización? </t>
  </si>
  <si>
    <t>Explica los procedimientos a realizar en cada estrategia de tamización.?</t>
  </si>
  <si>
    <t>TEMPRANA DE CÁNCER DE CUELLO UTERINO</t>
  </si>
  <si>
    <t>NOMBRE DEL  PROFESIONAL</t>
  </si>
  <si>
    <t>FECHA DE EVALUACIÓN</t>
  </si>
  <si>
    <t>UNIDAD AMBULATORIA</t>
  </si>
  <si>
    <t>EVALUACION DE LISTA DE CHEQUEO DETECCIÓN TEMPRANA DE CÁNCER DE CUELLO UTERINO</t>
  </si>
  <si>
    <t>Cuenta con Kardex del proceso de tamización con PSA (toma, lectura y emisión del informe de resultados) Diligencia todas las variables solicitadas en los formatos</t>
  </si>
  <si>
    <t>Se entrega material de Información, educación y comunicación, como 
cartillas, manuales o rotafolios que permitan la entrega de información y comprensión de los procedimientos para la detección temprana del cáncer de próstata</t>
  </si>
  <si>
    <t>La IPS cuenta con un consultorio que propicie la privacidad del hombre para 
la realización del tacto rectal,  guantes de látex, bata desechable, lubricante de uso médico con o sin anestésico local (vaselina, aceite mineral, lidocaína jalea).</t>
  </si>
  <si>
    <t>VERIFICACIÓN EXCLUSIVA PARA TAMIZACION MEDIANTE EXAMEN CLINICO DE PROSTATA</t>
  </si>
  <si>
    <t xml:space="preserve">Registra en historia clínica el resultado normal de la PSA y describe la fecha de la siguiente tamización. </t>
  </si>
  <si>
    <t>Revisa, interpreta y selecciona los informes de resultados negativos de PSA.</t>
  </si>
  <si>
    <t xml:space="preserve">Recepciona y verifica los resultados de la PSA. </t>
  </si>
  <si>
    <t xml:space="preserve">Genera plan de mejoramiento al  laboratorio clínico cuando realiza el seguimiento a la oportunidad en la entrega de los resultados y la oportunidad exceda los 15 días.
</t>
  </si>
  <si>
    <t>la oportunidad en el proceso de tamización con PSA (toma, lectura y emisión del informe de resultados) no supere los 15 días calendario, contados a partir del día la toma de la muestra.</t>
  </si>
  <si>
    <t>GESTION</t>
  </si>
  <si>
    <t>Se Registra en historia clínica el resultado anormal.</t>
  </si>
  <si>
    <t>Se Brinda asesoría sobre el resultado e importancia de continuar el proceso para la confirmación diagnóstica.</t>
  </si>
  <si>
    <t>PLAN DE CUIDADO</t>
  </si>
  <si>
    <t>En la HC se evidencia que durante el procedimiento se informo en:  
 Factores de riesgo para cáncer de próstata. 
 Procedimientos de tamización, en especial en la realización del tacto rectal y la 
necesidad de hacerlo combinado con el PSA cuantitativo. 
 Condiciones físicas para la toma del PSA. 
 Conductas según resultados de la tamización. Resultados de las pruebas de 
tamización son positivas, es necesario realizar pruebas confirmatorias</t>
  </si>
  <si>
    <t>EDUCACION EN SALUD</t>
  </si>
  <si>
    <t>La IPS genera alerta para que se realice la gestión del caso de acuerdo con las intervenciones descritas en la Ruta integral de atención en salud para la población con riesgo o presencia de cáncer- cáncer próstata a pacientes con resultados anormales en la biopsia?</t>
  </si>
  <si>
    <t>Si el resultado del tacto rectal es anormal se remitirá y gestionará la consulta con el especialista en urología en un tiempo no mayor a 4 semanas</t>
  </si>
  <si>
    <t>Cuando los resultados de PSA persisten elevados, se evidencia en la HC remisión a consulta con el especialista en urología en un tiempo no mayor a 4 semanas?</t>
  </si>
  <si>
    <t xml:space="preserve">Cuando el resultado del antígeno prostático es anormal, pero el tacto rectal es normal se evidencia en la HC una nueva solicitud de antígeno prostático en el curso de los siguientes meses? 
</t>
  </si>
  <si>
    <t>Cuando los resultados de los dos exámenes son normales se le informa  al usuario y se fijan los controles a seguir?</t>
  </si>
  <si>
    <t>RESULTADOS</t>
  </si>
  <si>
    <t>Remite a otros servicios o para la continuidad de otras rutas de promoción y mantenimiento de la salud?</t>
  </si>
  <si>
    <t>El profesional clasifica el riesgo de desarrollar  cáncer de próstata en concordancia con los criterios descritos en la Guía de Práctica Clínica para cáncer de próstata, y realiza intervenciones y/o derivacion a  la Ruta integral de atención en salud para la población con riesgo o presencia de cáncer- cáncer próstata?</t>
  </si>
  <si>
    <t>En la HC queda registrado el ingreso de la consulta por medicina general, donde primero se realiza el tacto rectal y se solicita el PSA, (se toma después de 10 días de realizado el tacto rectal), informando en la consulta para la entrega y lectura de los resultados?</t>
  </si>
  <si>
    <t>En la HC para los hombres susceptibles de tamización (Tacto rectal a hombres entre 50 y 75 años) se solicita antígeno prostático específico (PSA) y se garantiza el resultado cuando el paciente asistea a la consulta de medicina general y se le realiza tacto rectal?</t>
  </si>
  <si>
    <t>el prohfesional Informa las conductas a seguir según los resultados de las pruebas de tamización?</t>
  </si>
  <si>
    <t>El profesional Informa y diligencia consentimiento informado sobre el procedimiento, asi como posible malestar y efectos secundarios del procedimiento?</t>
  </si>
  <si>
    <t>El profesional brinda información y educación frente a la toma de las pruebas de tamización y la importancia de reclamar el resultado.?</t>
  </si>
  <si>
    <t>Tiene en cuenta la edad del paciente para realización de  e tacto rectal y PSA (cuantitativo).?</t>
  </si>
  <si>
    <t>Se Indaga de los resultados de lo últimos examenes de tacto rectal y PSA (cuantitativo)?</t>
  </si>
  <si>
    <t>Se enfatiza en la identificación de factores de riesgo familiares y personales, asi como sintomas individuales relacionados con el cancer de prostata, con el fin de determinar si hay riesgo y/o sospecha de enfermedad?</t>
  </si>
  <si>
    <t>DETECCIÓN TEMPRANA DE CÁNCER DE PRÓSTATA</t>
  </si>
  <si>
    <t>EVALUACION DE LISTA DE CHEQUEO DETECCIÓN TEMPRANA DE CÁNCER DE PRÓSTATA</t>
  </si>
  <si>
    <t>Cuenta con Kardex de atención de examen clinico de mama y mamografias</t>
  </si>
  <si>
    <t>Se entrega material de Información, educación y comunicación, como cartillas, manuales o rotafolios que permitan la entrega de información y comprensión de los procedimientos para la detección temprana del cáncer de mama?</t>
  </si>
  <si>
    <t>La IPS cuenta con un consultorio adecuado o exclusivo para el examen clinico de mamas que cuente con un espacio que propicie la privacidad de la mujer y batas desechables?</t>
  </si>
  <si>
    <t>VERIFICACIÓN EXCLUSIVA PARA EXAMEN CLÍNICO DE MAMA</t>
  </si>
  <si>
    <t>Con resultados de Cáncer la IPS continúa realizando seguimiento a las usuarias registrado en la historía clínica?</t>
  </si>
  <si>
    <t>Recepciona y verifica los resultados de la mamografía?</t>
  </si>
  <si>
    <t>Se garantiza que la oportunidad en el proceso de tamización con mamografía (toma, lectura y emisión del informe de resultados) no supere los 15 días calendario, contados a partir del día la toma de la muestra?</t>
  </si>
  <si>
    <t>Se solicitan exámenes complementarios (ecografía de seno y/o mamografía) cuando el examen clínico sea anormal?</t>
  </si>
  <si>
    <t>Se educa y se promueve el autoexamen de mama y la identificación de señales de alarma para que en caso de que exista alguna de ellas asista a su servicio de salud para conducta resolutiva?. Y queda registrado en la HC?</t>
  </si>
  <si>
    <t xml:space="preserve">En la HC se evidencia que durante el procedimiento se informo en:  
 Factores de riesgo para cáncer de mama. 
 Autoexamen de mama. 
 Importancia del examen clínico de mama a partir de los 40 años y de la mamografía a parir de los 50 años.                                                                                                                                                  </t>
  </si>
  <si>
    <t>La IPS Gestiona de forma ágil la entrega de resultados a las mujeres, garantizando que las mismas conozcan oportunamente sus resultados y pasos a seguir? Queda registrado en la HC?</t>
  </si>
  <si>
    <t>Se realiza busqueda activa asi como la asignacion de cita prioritaria con medicina general o enfermeria para la entrega de orden de biopsia a mujeres con resultados anormales (BI-RADS 4A, 4B, 4C, y 5)</t>
  </si>
  <si>
    <t>Ante resultados de mamografía BI-RADS 3 adelanta las intervenciones diagnósticas o de seguimiento en concordancia con lo definido en la Ruta Integral de Atención en salud para la población con riesgo o presencia de cáncer – cáncer de mama?</t>
  </si>
  <si>
    <t>Ante resultado normal de mamografia (BI-RADS 1 Y 2 se indica a paciente continuidad de esquema cada 2 años hasta los 69 años</t>
  </si>
  <si>
    <t>RESULTADOS DE TAMIZACION MEDIANTE MAMOGRAFIA</t>
  </si>
  <si>
    <t>Registra la información de asignación de próxima cita y remisión a la ruta integral de atención en salud para la población con presencia o riesgo de cáncer – cáncer de mama.?</t>
  </si>
  <si>
    <t>Remite a otros servicios o para la continuidad de otras rutas de promoción y mantenimiento de la salud según hallazgos de la realizacion del examen clinico de mama</t>
  </si>
  <si>
    <t>Se registra el procedimiento, describiendo las caracteisticas del examen clínico de mama asi como los hallazgos encontrados durante la tamizacion</t>
  </si>
  <si>
    <t xml:space="preserve"> Se Informa posibles conductas según resultados y/o hallazgos de las pruebas de tamización? </t>
  </si>
  <si>
    <t>Se explica el procedimiento del  examen clínico de mama con previo consentimiento informado de la paciente</t>
  </si>
  <si>
    <t>PROCEDIMIENTO PARA REALIZACION DE TAMIZAJE MEDIANTE EXAMEN CLINICO DE MAMA</t>
  </si>
  <si>
    <t>Se tiene en cuenta la edad de la paciente para realización de  examen clínco de mama y solicitud de mamografía?</t>
  </si>
  <si>
    <t>Se Indaga sobre los resultados de lo últimos examenes clínicos de mama y/o mamografía?</t>
  </si>
  <si>
    <t>Se identificación factores de riesgo familiares y personales?</t>
  </si>
  <si>
    <t xml:space="preserve"> DETECCIÓN TEMPRANA DE CÁNCER DE MAMA</t>
  </si>
  <si>
    <t>EVALUACION DE LISTA DE CHEQUEO DETECCIÓN  TEMPRANA DE CÁNCER DE MAMA</t>
  </si>
  <si>
    <t>Cuenta con Kardex del proceso de tamización de sangre oculta en materia fecal  (toma, lectura y emisión del informe de resultados)</t>
  </si>
  <si>
    <t xml:space="preserve">Se entrega material de Información, educación y comunicación, 
como cartillas, manuales o rotafolios que permitan la entrega de información y comprensión de los procedimientos para la detección temprana del cáncer de colon y recto. </t>
  </si>
  <si>
    <t>La IPS cumple con los estándares de habilitación para el Servicio de Laboratorio clínico, endoscopia digestiva, consulta de medicina general, medicina familiar o gastroenterología?</t>
  </si>
  <si>
    <t>laboratorio clínico debe cuenta con los insumos para generar el reporte de sangre oculta en materia fecal?</t>
  </si>
  <si>
    <t>VERIFICACIÓN EXCLUSIVA PARA EXAMEN SANGRE OCULTA EN HECES</t>
  </si>
  <si>
    <t>Revisa, interpreta y selecciona los informes de resultados negativos o normales de las pruebas de tamización y registra la fecha del siguiente examen?
En este caso informar a la persona, brindar pautas de cuidado y definir fecha de la nueva tamización.</t>
  </si>
  <si>
    <t>Recepciona y verifica los resultados de las pruebas de tamización que fueron realizadas.</t>
  </si>
  <si>
    <t>La IPS Garantiza la oportunidad en el proceso de tamización  (toma, lectura y 
emisión del informe de resultados) no supere los 15 días calendario, contados a partir del día la toma de la muestra.</t>
  </si>
  <si>
    <t>Con resultados positivos se le comunica al paciente y gestiona la realización de colonoscopia, biopsia o consulta con especialista indicado en forma prioritaria, asignándole cita durante la misma visita?</t>
  </si>
  <si>
    <t>Se comunica a los pacientes y fija los controles a seguir, según los resultados de exámenes normales?</t>
  </si>
  <si>
    <t>Queda registrado en la HC la consucta a seguir  de acuerdo a la interpretación clinica y de los resultados de la usuaria?</t>
  </si>
  <si>
    <t>Se registra en la HC los resultados de las pruebas de tamización, las conductas a seguir y  si es necesario realizar pruebas confirmatorias?</t>
  </si>
  <si>
    <t xml:space="preserve">Se educa en la importacia de realización de pruebas de tamización cada dos años a partir de los 50 años, o antes si existen factores de riesgo o sintomatología para ofrecer las pruebas correspondientes en concordancia con las intervenciones definidas en la Ruta integral de atención en salud para la población con riesgo o presencia de cáncer – cáncer de colon y recto. 
 </t>
  </si>
  <si>
    <t>Se brinda educación en laimportancia del Consumo de alimentos ricos en fibra evitar el consumo de carnes procesadas o embutidos, practica de actividad física regular y las registra en la HC?</t>
  </si>
  <si>
    <t>Se registra en la HC la educación en Factores de riesgo y síntomas de alarma (pérdida de peso, melenas o sangrado rectal activo, masa abdominal palpable, cambio en el hábito intestinal)?</t>
  </si>
  <si>
    <t>INFORMACIÓN DE LA SALUD</t>
  </si>
  <si>
    <t>Se informa a los pacientes que ante la presencia de síntomas es necesario asistir a consulta para valoración y solicitud de exámenes complementarios?</t>
  </si>
  <si>
    <t>Ante resultados anormales de la colonoscopia y/o biopsia se genera una alerta y se realiza gestión del caso de acuerdo con las intervenciones descritas en la Ruta Integral de Atención Específica de Cáncer de colon y recto?</t>
  </si>
  <si>
    <t>Se registra resultados anormales de las pruebas de tamización, se realiza seguimiento, se asigna cita de entrega de resultados con médico general o enfermera y solicitan colonoscopia y/o biopsia respectiva?</t>
  </si>
  <si>
    <r>
      <rPr>
        <sz val="9"/>
        <color theme="1"/>
        <rFont val="Arial"/>
        <family val="2"/>
      </rPr>
      <t>Ante factores de riesgo (Antecedentes familiares de cáncer de colon y recto no hereditario, en primer grado de poliposis adenomatos, Antecedentes de pólipos adenomatosos del colon y pólipos hiperplásicos del colon) se deriva paciente a la ruta integral de atención en salud para la población con riesgo o presencia de cáncer – cáncer de colon?</t>
    </r>
    <r>
      <rPr>
        <sz val="9"/>
        <color rgb="FFFF0000"/>
        <rFont val="Arial"/>
        <family val="2"/>
      </rPr>
      <t xml:space="preserve">
 - 
</t>
    </r>
  </si>
  <si>
    <t>Se solicita tamizaje parala deteccion de cancer colorectal mediante la toma de sangre oculta en materia fecal inmunoquímica cada dos años o colonoscopia cada diez años a Hombres y mujeres iguales o mayores a 50 años?</t>
  </si>
  <si>
    <t>PROCEDIMIENTOS</t>
  </si>
  <si>
    <t xml:space="preserve">Se brinda información y educación frente a la toma de las pruebas de tamización y la importancia de reclamar el resultado. </t>
  </si>
  <si>
    <t xml:space="preserve">Se tiene en cuenta la edad del paciente para realización de  detección temprana del cáncer de colon y recto en hombres y mujeres mayores o iguales a 50 años y en grupos de individuos con factores de riesgo personal y/o familiar para cáncer colorrectal. </t>
  </si>
  <si>
    <t xml:space="preserve">Se indaga de los resultados de lo últimos examenes de test de sangre oculta en materia fecal con inmunoquímica (3 muestras en días diferentes) o colonoscopia </t>
  </si>
  <si>
    <t>Se enfatiza en la identificación de factores de riesgo heredo-familiares y personales</t>
  </si>
  <si>
    <t>DETECCIÓN TEMPRANA DE CÁNCER DECOLON Y RECTO</t>
  </si>
  <si>
    <t>EVALUACION DE LISTA DE CHEQUEO DETECCIÓN TEMPRANA DE CÁNCER DECOLON Y RECTO</t>
  </si>
  <si>
    <t>Envío oportuno del sistema de información (primeros 7 días calendario de cada mes)</t>
  </si>
  <si>
    <t>Diligencia todas las variables solicitadas en los formatos</t>
  </si>
  <si>
    <t>Diligencia la información en los formatos establecidos por el Departamento y Municipio y Mantiene actualizados los sistemas de información oficiales</t>
  </si>
  <si>
    <t>Reporta formato Consolidado de ITS (VIH, Hepatitis, Sifilis, VPH y otras ITS)</t>
  </si>
  <si>
    <t>Formato de ETMIPLLUS</t>
  </si>
  <si>
    <t>SISTEMA DE INFORACIÓN</t>
  </si>
  <si>
    <t>Toma pruebas rápidas de VIH, Hepatitis y Sifilis en el consultorio para toda la población</t>
  </si>
  <si>
    <t xml:space="preserve">Cuenta con las Rutas las de atención definidas por las EAPB de diagnostico y atencion vigentes para el  para el diagnóstico de ITS, VIH, Coinfección TB/VIH, hepatitis B y C. </t>
  </si>
  <si>
    <t>VERIFICACIÓN EXCLUSIVA PARA ATENCIÓN DE ITS VIH SIDA</t>
  </si>
  <si>
    <t>Garantiza servicios de atención en salud, humanizados y con enfoque diferencial</t>
  </si>
  <si>
    <t>Se identifican otras ITS para seguimiento</t>
  </si>
  <si>
    <t>Se identifican reportes de SIVIGILA los usuarios con diagnóstico de VIH, Hepatitis B y Hepatitis C para seguimiento</t>
  </si>
  <si>
    <t>Registra en historia clínica el pre y pos test VIH El consentimiento informado y desestimiento</t>
  </si>
  <si>
    <t>Realiza asesoría pre y pos test de VIH</t>
  </si>
  <si>
    <t>Cuenta con un plan de capacitación para la población clave y priorizada con diagnostico positivo en Derechos sexuales y reproductivos</t>
  </si>
  <si>
    <t>Se realiza seguimiento a los casos de paraclinicos de menores expuestos al VIH, Sífilis, hepatitis B y enfermedad de Chagas por transmisión materna infantil, hasta la confirmación o descarte del diagnóstico.</t>
  </si>
  <si>
    <t xml:space="preserve">Se realiza seguimiento a los casos de Gestantes con  VIH, Sífilis, hepatitis B y C </t>
  </si>
  <si>
    <t>Realiza tamizajes de pruebas rápidas , VIH, sifilis, hepatitis B y C para toda la población no solo gestantes</t>
  </si>
  <si>
    <t>La IPS cuenta con Personal del área de la salud capacitadas para la planeación, implementación, seguimiento y reporte de la estrategia ETMI Plus</t>
  </si>
  <si>
    <t>La IPS garantiza la prestación de servicios de salud para la atención integral y oportuna a las personas con ITS, VIH, coinfección TB/VIH, hepatitis B o C, incluidas las gestantes y sus hijos e hijas expuestos, acorde a los lineamientos, guías y normatividad vigente</t>
  </si>
  <si>
    <t>ATENCIÓN INTEGRAL EN SALUD</t>
  </si>
  <si>
    <t>IPS garantiza el seguimiento clínico y paraclínico a los menores expuestos al VIH, sífilis y hepatitis B por vía materno-infantil, hasta la confirmación o descarte del diagnóstico, de acuerdo con las recomendaciones técnicas vigentes.</t>
  </si>
  <si>
    <t>La IPS garantiza la inducción a la demanda y la oferta de tamizaje sin barreras para VIH, sífilis y hepatitis B para la totalidad de las gestantes.</t>
  </si>
  <si>
    <t>La IPS fortalece la inducción a la demanda y la oferta de pruebas rápidas para VIH, sífilis, hepatitis B, hepatitis C y otras ITS a través de servicios de información y pruebas rápidas, la ruta de promoción y mantenimiento de la salud, los servicios de salud sexual y reproductiva, las consultas de ITS, la atención a las violencias basadas en género, la consulta diferencial para adolescentes y jóvenes</t>
  </si>
  <si>
    <t>Fortalece las capacitaciones  del talento humano en salud para la aplicación del protocolo vigente en exposiciones de riesgo biológico laboral o no laboral, ante las ITS, VIH, VHB y VHC y hacen seguimiento a su implementación</t>
  </si>
  <si>
    <t xml:space="preserve">La IPS adquiere y distribuye condones a las poblaciones claves y prioritarias, como estrategia de prevención para las ITS, el VIH, la coinfección TB/VIH y las hepatitis B y C, en concordancia con el documento técnico de adquisición, suministro y distribución de condones en Colombia </t>
  </si>
  <si>
    <t>Implementa las intervenciones y atenciones de la ruta integral de atención para personas con factores de riesgo o con enfermedades transmisibles en su tramo de infecciones transmitidas por vía sexual (ITS, VIH, coinfección TB/ VIH, hepatitis B y C)</t>
  </si>
  <si>
    <t>PROMOCIÓN Y PREVENCIÓN</t>
  </si>
  <si>
    <t>Tiene Identificada población con ITS, el VIH, la coinfección TB/VIH y las Hepatitis B y C</t>
  </si>
  <si>
    <t>La IPS participa en las mesas de trabajo con en las EAPB y el Municipio para la implementación del documento del Plan Municipal de Respuesta ante las ITS, el VIH, la coinfección TB/VIH y las Hepatitis B y C.</t>
  </si>
  <si>
    <t xml:space="preserve"> ATENCIÓN INTEGRAL PARA LA IMPLEMENTACION PLAN NACIONAL DE VIH/ITS </t>
  </si>
  <si>
    <t>ITS Y VIH</t>
  </si>
  <si>
    <t xml:space="preserve">VERIDICACION DE ANEXO CON ENFERMERA JEFE YISELA BEJARANO DEL PROGRAMA DE SEXUALIDAD Y DSR DE LA IPS UNIDAD FUNCIOANL DE LA SAMARITANA  DE ZIPAQUIRA </t>
  </si>
  <si>
    <t>EVALUACION DE LISTA DE CHEQUEO ITS Y VIH</t>
  </si>
  <si>
    <t>Envío oportuno en el sistema de información (primeros 7 días calendario de cada mes)</t>
  </si>
  <si>
    <t>Diligencia todas las variables solicitadas en en formato</t>
  </si>
  <si>
    <t xml:space="preserve">Diligencia la información en el formato establecido por el Departamento </t>
  </si>
  <si>
    <t>La IPS registra los seguimientos en historia clinica</t>
  </si>
  <si>
    <t>La IPS cuenta con el formato de seguimiento de acciones interesectoriales Evento 875 (violencia sexual) que incluye: consolidado general de los casos (mensual) y registro de los respectivos seguimientos</t>
  </si>
  <si>
    <t>EL personal de ssalud de la IPS tiene conocimiento de la ruta  para Víctimas de Violencia Sexual</t>
  </si>
  <si>
    <t>En el momento que se detecta una victima de violencia sexual, se registra en la HC la estabilización emocional y se remite de inmediato a los servicios de urgencias correspondientes, donde la han de recibír y atender sin ningún tipo de demora, requisito u obstáculo para que se inicie su atención integral.</t>
  </si>
  <si>
    <t>RECEPCIÓN INMEDIATA DE LA VÍCTIMA DE VIOLENCIA SEXUAL</t>
  </si>
  <si>
    <t>Cuenta con un delegado del equipo que participe en los comités, redes o mesas intersectoriales de atención a víctimas de violencia sexual que existan en el municipio, para el análisis y seguimiento de casos.</t>
  </si>
  <si>
    <t xml:space="preserve">Implementa acciones continuas para informar y capacitar en el Modelo de Atención Integral en Salud para Víctimas de Violencia Sexual o flujograma al personal de salud y administrativo que pueda llegar a estar en contacto con una víctima de violencia sexual. </t>
  </si>
  <si>
    <t>La IPS tiene conformado el equipo institucional básico por profesionales de medicina, enfermería, trabajo social, salud mental y área administrativa (de acuerdo con el tipo de institución</t>
  </si>
  <si>
    <t xml:space="preserve">VERIFICACIÓN Y MANTENIMIENTO </t>
  </si>
  <si>
    <t>Socializa, registra, tiene presente y respeta lo derechos de las víctimas de violencia sexual (Ley 360 de 1997)</t>
  </si>
  <si>
    <t xml:space="preserve">La IPS mantiene la  confidencialidad en torno al acto médico que reviste la atención integral de una víctima de violencia sexual. </t>
  </si>
  <si>
    <t>la IPS cuenta con base de segimiento de casos de violencia sexual de l primer trimestre 2025 ( ver anexo de informe)</t>
  </si>
  <si>
    <t>Implementa de manera permanente acciones de información, educación y  comunicación -lEC, dirigidas hacia la comunidad en general para prevención de violencia sexual</t>
  </si>
  <si>
    <t xml:space="preserve">ATENCIÓN INTEGRAL EN SALUD PARA VÍCTIMAS DE VIOLENCIA SEXUAL </t>
  </si>
  <si>
    <t xml:space="preserve">VIOLENCIA SEXAUL </t>
  </si>
  <si>
    <t>EVALUACION DE LISTA DE CHEQUEO ATENCIÓN INTEGRAL EN SALUD PARA VÍCTIMAS DE VIOLENCIA SEXUAL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</si>
</sst>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font>
      <sz val="11"/>
      <color theme="1"/>
      <name val="Aptos Narrow"/>
      <family val="2"/>
      <scheme val="minor"/>
    </font>
    <font>
      <sz val="11"/>
      <color theme="1"/>
      <name val="Aptos Narrow"/>
      <family val="2"/>
      <scheme val="minor"/>
    </font>
    <font>
      <b/>
      <sz val="9"/>
      <color rgb="FF000000"/>
      <name val="Arial"/>
      <family val="2"/>
    </font>
    <font>
      <sz val="9"/>
      <color theme="1"/>
      <name val="Arial"/>
      <family val="2"/>
    </font>
    <font>
      <sz val="9"/>
      <color indexed="81"/>
      <name val="Tahoma"/>
      <family val="2"/>
    </font>
    <font>
      <sz val="9"/>
      <color rgb="FF00B050"/>
      <name val="Arial"/>
      <family val="2"/>
    </font>
    <font>
      <b/>
      <sz val="11"/>
      <color theme="1"/>
      <name val="Aptos Narrow"/>
      <family val="2"/>
      <scheme val="minor"/>
    </font>
    <font>
      <b/>
      <sz val="10"/>
      <name val="Arial"/>
      <family val="2"/>
    </font>
    <font>
      <b/>
      <sz val="8"/>
      <name val="Arial"/>
      <family val="2"/>
    </font>
    <font>
      <b/>
      <sz val="6"/>
      <name val="Arial"/>
      <family val="2"/>
    </font>
    <font>
      <sz val="8"/>
      <name val="Arial"/>
      <family val="2"/>
    </font>
    <font>
      <b/>
      <sz val="11"/>
      <color theme="1"/>
      <name val="Arial"/>
      <family val="2"/>
    </font>
    <font>
      <b/>
      <sz val="12"/>
      <color theme="1"/>
      <name val="Aptos Narrow"/>
      <family val="2"/>
      <scheme val="minor"/>
    </font>
    <font>
      <b/>
      <sz val="11"/>
      <color theme="0" tint="-0.499984740745262"/>
      <name val="Aptos Narrow"/>
      <family val="2"/>
      <scheme val="minor"/>
    </font>
    <font>
      <sz val="9"/>
      <color rgb="FF000000"/>
      <name val="Arial"/>
      <family val="2"/>
    </font>
    <font>
      <sz val="12"/>
      <color theme="1"/>
      <name val="Calibri"/>
      <family val="2"/>
    </font>
    <font>
      <sz val="11"/>
      <color theme="1"/>
      <name val="Arial"/>
      <family val="2"/>
    </font>
    <font>
      <sz val="10"/>
      <color theme="1"/>
      <name val="Arial"/>
      <family val="2"/>
    </font>
    <font>
      <sz val="10"/>
      <color rgb="FF000000"/>
      <name val="Arial"/>
      <family val="2"/>
    </font>
    <font>
      <i/>
      <sz val="11"/>
      <color theme="1"/>
      <name val="Arial"/>
      <family val="2"/>
    </font>
    <font>
      <sz val="11"/>
      <color rgb="FF000000"/>
      <name val="Arial Narrow"/>
      <family val="2"/>
    </font>
    <font>
      <b/>
      <sz val="11"/>
      <name val="Arial"/>
      <family val="2"/>
    </font>
    <font>
      <b/>
      <sz val="11"/>
      <color theme="1"/>
      <name val="Aptos Narrow"/>
      <charset val="134"/>
      <scheme val="minor"/>
    </font>
    <font>
      <b/>
      <sz val="11"/>
      <color theme="1"/>
      <name val="Arial"/>
      <charset val="134"/>
    </font>
    <font>
      <b/>
      <sz val="9"/>
      <color indexed="81"/>
      <name val="Tahoma"/>
      <family val="2"/>
    </font>
    <font>
      <sz val="11"/>
      <name val="Arial"/>
      <family val="2"/>
    </font>
    <font>
      <sz val="11"/>
      <color rgb="FF000000"/>
      <name val="Arial"/>
      <family val="2"/>
    </font>
    <font>
      <b/>
      <sz val="11"/>
      <color theme="1"/>
      <name val="Aptos Narrow"/>
      <scheme val="minor"/>
    </font>
    <font>
      <u/>
      <sz val="11"/>
      <color theme="10"/>
      <name val="Aptos Narrow"/>
      <family val="2"/>
      <scheme val="minor"/>
    </font>
    <font>
      <sz val="11"/>
      <name val="Arial Narrow"/>
      <family val="2"/>
    </font>
    <font>
      <b/>
      <sz val="11"/>
      <color rgb="FF000000"/>
      <name val="Aptos Narrow"/>
      <scheme val="minor"/>
    </font>
    <font>
      <b/>
      <sz val="10"/>
      <color rgb="FF000000"/>
      <name val="Arial"/>
      <family val="2"/>
    </font>
    <font>
      <b/>
      <sz val="10"/>
      <color theme="1"/>
      <name val="Arial"/>
      <family val="2"/>
    </font>
    <font>
      <sz val="10"/>
      <name val="Arial"/>
      <family val="2"/>
    </font>
    <font>
      <sz val="10"/>
      <color theme="1"/>
      <name val="Aptos Narrow"/>
      <family val="2"/>
      <scheme val="minor"/>
    </font>
    <font>
      <sz val="9"/>
      <color rgb="FFFF0000"/>
      <name val="Arial"/>
      <family val="2"/>
    </font>
    <font>
      <sz val="9"/>
      <name val="Arial"/>
      <family val="2"/>
    </font>
    <font>
      <sz val="11"/>
      <color theme="1"/>
      <name val="Calibri"/>
      <family val="2"/>
    </font>
    <font>
      <sz val="11"/>
      <color theme="1"/>
      <name val="Aptos Narrow"/>
      <charset val="134"/>
      <scheme val="minor"/>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00"/>
        <bgColor rgb="FF000000"/>
      </patternFill>
    </fill>
    <fill>
      <patternFill patternType="solid">
        <fgColor theme="5"/>
        <bgColor rgb="FF000000"/>
      </patternFill>
    </fill>
    <fill>
      <patternFill patternType="solid">
        <fgColor rgb="FFFF0000"/>
        <bgColor rgb="FF000000"/>
      </patternFill>
    </fill>
    <fill>
      <patternFill patternType="solid">
        <fgColor theme="0"/>
        <bgColor theme="0"/>
      </patternFill>
    </fill>
    <fill>
      <patternFill patternType="solid">
        <fgColor theme="5" tint="0.7999511703848384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indexed="64"/>
      </bottom>
      <diagonal/>
    </border>
    <border>
      <left style="medium">
        <color auto="1"/>
      </left>
      <right/>
      <top style="thin">
        <color auto="1"/>
      </top>
      <bottom/>
      <diagonal/>
    </border>
    <border>
      <left style="medium">
        <color auto="1"/>
      </left>
      <right/>
      <top/>
      <bottom/>
      <diagonal/>
    </border>
    <border>
      <left style="medium">
        <color auto="1"/>
      </left>
      <right/>
      <top/>
      <bottom style="thin">
        <color auto="1"/>
      </bottom>
      <diagonal/>
    </border>
    <border>
      <left/>
      <right/>
      <top style="thin">
        <color auto="1"/>
      </top>
      <bottom/>
      <diagonal/>
    </border>
    <border>
      <left style="medium">
        <color auto="1"/>
      </left>
      <right style="thin">
        <color auto="1"/>
      </right>
      <top style="thin">
        <color auto="1"/>
      </top>
      <bottom style="thin">
        <color auto="1"/>
      </bottom>
      <diagonal/>
    </border>
    <border>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6">
    <xf numFmtId="0" fontId="0" fillId="0" borderId="0"/>
    <xf numFmtId="9" fontId="1" fillId="0" borderId="0" applyFont="0" applyFill="0" applyBorder="0" applyAlignment="0" applyProtection="0"/>
    <xf numFmtId="0" fontId="1" fillId="0" borderId="0"/>
    <xf numFmtId="0" fontId="28" fillId="0" borderId="0" applyNumberFormat="0" applyFill="0" applyBorder="0" applyAlignment="0" applyProtection="0"/>
    <xf numFmtId="9" fontId="38" fillId="0" borderId="0" applyFont="0" applyFill="0" applyBorder="0" applyAlignment="0" applyProtection="0"/>
    <xf numFmtId="0" fontId="38" fillId="0" borderId="0"/>
  </cellStyleXfs>
  <cellXfs count="267">
    <xf numFmtId="0" fontId="0" fillId="0" borderId="0" xfId="0"/>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0" xfId="0" applyAlignment="1">
      <alignment horizontal="center"/>
    </xf>
    <xf numFmtId="0" fontId="8" fillId="0" borderId="1" xfId="0" applyFont="1" applyBorder="1" applyAlignment="1">
      <alignment horizontal="center" vertical="center" wrapText="1"/>
    </xf>
    <xf numFmtId="0" fontId="0" fillId="0" borderId="1" xfId="0" applyBorder="1" applyAlignment="1">
      <alignment horizontal="center"/>
    </xf>
    <xf numFmtId="14" fontId="0" fillId="0" borderId="1" xfId="0" applyNumberFormat="1" applyBorder="1" applyAlignment="1">
      <alignment horizont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164" fontId="8" fillId="0" borderId="1" xfId="1" applyNumberFormat="1" applyFont="1" applyBorder="1" applyAlignment="1" applyProtection="1">
      <alignment horizontal="center" vertical="center"/>
    </xf>
    <xf numFmtId="0" fontId="11" fillId="5" borderId="1" xfId="0" applyFont="1" applyFill="1" applyBorder="1" applyAlignment="1">
      <alignment horizontal="center" vertical="center"/>
    </xf>
    <xf numFmtId="14"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9" fillId="4" borderId="2"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3" xfId="0" applyFont="1" applyFill="1" applyBorder="1" applyAlignment="1">
      <alignment horizontal="center" vertical="center"/>
    </xf>
    <xf numFmtId="14" fontId="13" fillId="0" borderId="3" xfId="0" applyNumberFormat="1" applyFont="1" applyBorder="1" applyAlignment="1">
      <alignment horizontal="center" vertical="center" wrapText="1"/>
    </xf>
    <xf numFmtId="0" fontId="11" fillId="5" borderId="3" xfId="0" applyFont="1" applyFill="1" applyBorder="1" applyAlignment="1">
      <alignment horizontal="center" vertical="center"/>
    </xf>
    <xf numFmtId="0" fontId="0" fillId="0" borderId="1" xfId="0" applyBorder="1"/>
    <xf numFmtId="0" fontId="8" fillId="0" borderId="0" xfId="0" applyFont="1" applyAlignment="1">
      <alignment horizontal="center" vertical="center" wrapText="1"/>
    </xf>
    <xf numFmtId="0" fontId="10" fillId="0" borderId="0" xfId="0" applyFont="1" applyAlignment="1">
      <alignment horizontal="center" vertical="center"/>
    </xf>
    <xf numFmtId="164" fontId="8" fillId="0" borderId="0" xfId="1" applyNumberFormat="1" applyFont="1" applyBorder="1" applyAlignment="1" applyProtection="1">
      <alignment horizontal="center" vertical="center"/>
    </xf>
    <xf numFmtId="0" fontId="8" fillId="0" borderId="0" xfId="0" applyFont="1" applyAlignment="1">
      <alignment horizontal="center" vertical="center"/>
    </xf>
    <xf numFmtId="0" fontId="15" fillId="7" borderId="2" xfId="0" applyFont="1" applyFill="1" applyBorder="1" applyAlignment="1">
      <alignment vertical="center" wrapText="1"/>
    </xf>
    <xf numFmtId="0" fontId="16" fillId="0" borderId="1" xfId="0" applyFont="1" applyBorder="1" applyAlignment="1">
      <alignment horizontal="left"/>
    </xf>
    <xf numFmtId="0" fontId="15" fillId="8" borderId="2" xfId="0" applyFont="1" applyFill="1" applyBorder="1" applyAlignment="1">
      <alignment vertical="center"/>
    </xf>
    <xf numFmtId="0" fontId="15" fillId="9" borderId="2" xfId="0" applyFont="1" applyFill="1" applyBorder="1" applyAlignment="1">
      <alignment vertical="center"/>
    </xf>
    <xf numFmtId="0" fontId="15" fillId="10" borderId="2" xfId="0" applyFont="1" applyFill="1" applyBorder="1" applyAlignment="1">
      <alignment vertical="center" wrapText="1"/>
    </xf>
    <xf numFmtId="1" fontId="6" fillId="6" borderId="1" xfId="0" applyNumberFormat="1" applyFont="1" applyFill="1" applyBorder="1" applyAlignment="1">
      <alignment horizontal="center" vertical="center"/>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17" fillId="0" borderId="3" xfId="0" applyFont="1" applyBorder="1" applyAlignment="1">
      <alignment horizontal="justify" vertical="center" wrapText="1"/>
    </xf>
    <xf numFmtId="0" fontId="17" fillId="0" borderId="3" xfId="0" applyFont="1" applyBorder="1" applyAlignment="1">
      <alignment horizontal="justify" wrapText="1"/>
    </xf>
    <xf numFmtId="0" fontId="17" fillId="0" borderId="3" xfId="0" applyFont="1" applyBorder="1" applyAlignment="1">
      <alignment horizontal="justify"/>
    </xf>
    <xf numFmtId="0" fontId="17" fillId="2" borderId="3" xfId="0" applyFont="1" applyFill="1" applyBorder="1" applyAlignment="1">
      <alignment horizontal="justify" wrapText="1"/>
    </xf>
    <xf numFmtId="0" fontId="17" fillId="2" borderId="3" xfId="0" applyFont="1" applyFill="1" applyBorder="1" applyAlignment="1">
      <alignment horizontal="justify" vertical="center" wrapText="1"/>
    </xf>
    <xf numFmtId="0" fontId="18" fillId="2" borderId="1" xfId="0" applyFont="1" applyFill="1" applyBorder="1" applyAlignment="1">
      <alignment horizontal="left" vertical="center" wrapText="1"/>
    </xf>
    <xf numFmtId="0" fontId="17" fillId="0" borderId="1" xfId="0" applyFont="1" applyBorder="1" applyAlignment="1">
      <alignment vertical="center" wrapText="1"/>
    </xf>
    <xf numFmtId="0" fontId="17" fillId="0" borderId="1" xfId="0" applyFont="1" applyBorder="1" applyAlignment="1">
      <alignment vertical="center"/>
    </xf>
    <xf numFmtId="0" fontId="18" fillId="2" borderId="2" xfId="0" applyFont="1" applyFill="1" applyBorder="1" applyAlignment="1">
      <alignment horizontal="left" vertical="center" wrapText="1"/>
    </xf>
    <xf numFmtId="0" fontId="17" fillId="0" borderId="2" xfId="0" applyFont="1" applyBorder="1" applyAlignment="1">
      <alignment wrapText="1"/>
    </xf>
    <xf numFmtId="0" fontId="17" fillId="0" borderId="0" xfId="0" applyFont="1" applyAlignment="1">
      <alignment vertical="center" wrapText="1"/>
    </xf>
    <xf numFmtId="0" fontId="17" fillId="2" borderId="15" xfId="0" applyFont="1" applyFill="1" applyBorder="1" applyAlignment="1">
      <alignment horizontal="left" wrapText="1"/>
    </xf>
    <xf numFmtId="0" fontId="17" fillId="0" borderId="2" xfId="0" applyFont="1" applyBorder="1" applyAlignment="1">
      <alignment vertical="center" wrapText="1"/>
    </xf>
    <xf numFmtId="0" fontId="6" fillId="2" borderId="5" xfId="0" applyFont="1" applyFill="1" applyBorder="1" applyAlignment="1">
      <alignment horizontal="center" vertical="center" wrapText="1"/>
    </xf>
    <xf numFmtId="0" fontId="16" fillId="0" borderId="2" xfId="0" applyFont="1" applyBorder="1" applyAlignment="1">
      <alignment vertical="center" wrapText="1"/>
    </xf>
    <xf numFmtId="0" fontId="20" fillId="11" borderId="18" xfId="0" applyFont="1" applyFill="1" applyBorder="1" applyAlignment="1">
      <alignment horizontal="left" vertical="top" wrapText="1"/>
    </xf>
    <xf numFmtId="0" fontId="16" fillId="0" borderId="1" xfId="0" applyFont="1" applyBorder="1" applyAlignment="1">
      <alignment vertical="center" wrapText="1"/>
    </xf>
    <xf numFmtId="0" fontId="20" fillId="11" borderId="19" xfId="0" applyFont="1" applyFill="1" applyBorder="1" applyAlignment="1">
      <alignment horizontal="left" vertical="top" wrapText="1"/>
    </xf>
    <xf numFmtId="0" fontId="5"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6" fillId="0" borderId="2" xfId="0" applyFont="1" applyBorder="1" applyAlignment="1">
      <alignment horizontal="left"/>
    </xf>
    <xf numFmtId="0" fontId="16" fillId="0" borderId="7" xfId="0" applyFont="1" applyBorder="1" applyAlignment="1">
      <alignment horizontal="left"/>
    </xf>
    <xf numFmtId="0" fontId="16" fillId="0" borderId="3" xfId="0" applyFont="1" applyBorder="1" applyAlignment="1">
      <alignment horizontal="left"/>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9" fontId="2" fillId="0" borderId="1" xfId="1" applyFont="1" applyBorder="1" applyAlignment="1">
      <alignment horizontal="center" vertical="center" wrapText="1"/>
    </xf>
    <xf numFmtId="9" fontId="2" fillId="0" borderId="6" xfId="1" applyFont="1" applyBorder="1" applyAlignment="1">
      <alignment horizontal="center" vertical="center" wrapText="1"/>
    </xf>
    <xf numFmtId="9" fontId="3" fillId="2" borderId="1" xfId="1" applyFont="1" applyFill="1" applyBorder="1" applyAlignment="1">
      <alignment horizontal="center" vertical="center" wrapText="1"/>
    </xf>
    <xf numFmtId="9" fontId="2" fillId="2" borderId="1" xfId="1" applyFont="1" applyFill="1" applyBorder="1" applyAlignment="1">
      <alignment horizontal="center" vertical="center" wrapText="1"/>
    </xf>
    <xf numFmtId="0" fontId="0" fillId="0" borderId="0" xfId="0" applyAlignment="1">
      <alignment horizontal="center" vertical="center"/>
    </xf>
    <xf numFmtId="9" fontId="0" fillId="0" borderId="0" xfId="1" applyFont="1" applyAlignment="1">
      <alignment horizontal="center" vertical="center"/>
    </xf>
    <xf numFmtId="9" fontId="0" fillId="0" borderId="1" xfId="1" applyFont="1" applyBorder="1" applyAlignment="1">
      <alignment horizontal="center" vertical="center"/>
    </xf>
    <xf numFmtId="0" fontId="16" fillId="0" borderId="2" xfId="0" applyFont="1" applyBorder="1" applyAlignment="1">
      <alignment horizontal="center" vertical="center"/>
    </xf>
    <xf numFmtId="9" fontId="5" fillId="0" borderId="5" xfId="0" applyNumberFormat="1" applyFont="1" applyBorder="1" applyAlignment="1">
      <alignment horizontal="center" vertical="center" wrapText="1"/>
    </xf>
    <xf numFmtId="9" fontId="2" fillId="0" borderId="5" xfId="1"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2" xfId="0" applyBorder="1" applyAlignment="1">
      <alignment horizontal="center"/>
    </xf>
    <xf numFmtId="0" fontId="11" fillId="5" borderId="20" xfId="0" applyFont="1" applyFill="1" applyBorder="1" applyAlignment="1">
      <alignment horizontal="center" vertical="center"/>
    </xf>
    <xf numFmtId="0" fontId="11" fillId="6" borderId="20" xfId="0" applyFont="1" applyFill="1" applyBorder="1" applyAlignment="1">
      <alignment horizontal="center"/>
    </xf>
    <xf numFmtId="10" fontId="23" fillId="2" borderId="25" xfId="1" applyNumberFormat="1" applyFont="1" applyFill="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6" xfId="1" applyNumberFormat="1" applyFont="1" applyBorder="1" applyAlignment="1">
      <alignment horizontal="center" vertical="center" wrapText="1"/>
    </xf>
    <xf numFmtId="0" fontId="3" fillId="2" borderId="1" xfId="1"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2" fillId="2" borderId="1" xfId="1" applyNumberFormat="1" applyFont="1" applyFill="1" applyBorder="1" applyAlignment="1">
      <alignment horizontal="center" vertical="center" wrapText="1"/>
    </xf>
    <xf numFmtId="0" fontId="0" fillId="0" borderId="1" xfId="1" applyNumberFormat="1" applyFont="1" applyBorder="1" applyAlignment="1">
      <alignment horizontal="center" vertical="center"/>
    </xf>
    <xf numFmtId="10" fontId="11" fillId="6" borderId="14" xfId="0" applyNumberFormat="1" applyFont="1" applyFill="1" applyBorder="1" applyAlignment="1">
      <alignment horizontal="center"/>
    </xf>
    <xf numFmtId="0" fontId="2" fillId="2" borderId="4" xfId="0" applyFont="1" applyFill="1" applyBorder="1" applyAlignment="1">
      <alignment horizontal="center" vertical="center" wrapText="1"/>
    </xf>
    <xf numFmtId="0" fontId="6" fillId="0" borderId="1" xfId="0" applyFont="1" applyBorder="1" applyAlignment="1">
      <alignment horizontal="center" vertical="center" wrapText="1"/>
    </xf>
    <xf numFmtId="9" fontId="11" fillId="6" borderId="14" xfId="0" applyNumberFormat="1" applyFont="1" applyFill="1" applyBorder="1" applyAlignment="1">
      <alignment horizontal="center"/>
    </xf>
    <xf numFmtId="0" fontId="0" fillId="0" borderId="1" xfId="0" applyBorder="1" applyAlignment="1">
      <alignment horizontal="center" wrapText="1"/>
    </xf>
    <xf numFmtId="0" fontId="11" fillId="6" borderId="14" xfId="0" applyFont="1" applyFill="1" applyBorder="1" applyAlignment="1">
      <alignment horizontal="center"/>
    </xf>
    <xf numFmtId="0" fontId="11" fillId="6" borderId="1" xfId="0" applyFont="1" applyFill="1" applyBorder="1" applyAlignment="1">
      <alignment horizontal="center"/>
    </xf>
    <xf numFmtId="0" fontId="5" fillId="0" borderId="14" xfId="0" applyFont="1" applyBorder="1" applyAlignment="1">
      <alignment horizontal="center" vertical="center" wrapText="1"/>
    </xf>
    <xf numFmtId="0" fontId="16" fillId="0" borderId="1" xfId="0" applyFont="1" applyBorder="1" applyAlignment="1">
      <alignment horizontal="center" vertical="center" wrapText="1"/>
    </xf>
    <xf numFmtId="0" fontId="6" fillId="0" borderId="1" xfId="0" applyFont="1" applyBorder="1"/>
    <xf numFmtId="0" fontId="6" fillId="0" borderId="3" xfId="0" applyFont="1" applyBorder="1" applyAlignment="1">
      <alignment horizontal="center" vertical="center" wrapText="1"/>
    </xf>
    <xf numFmtId="9" fontId="25" fillId="0" borderId="1" xfId="0" applyNumberFormat="1" applyFont="1" applyBorder="1" applyAlignment="1">
      <alignment horizontal="center" vertical="center" wrapText="1"/>
    </xf>
    <xf numFmtId="0" fontId="25" fillId="0" borderId="2" xfId="0" applyFont="1" applyBorder="1" applyAlignment="1">
      <alignment horizontal="left" vertical="center" wrapText="1"/>
    </xf>
    <xf numFmtId="0" fontId="25" fillId="0" borderId="1" xfId="0" applyFont="1" applyBorder="1" applyAlignment="1">
      <alignment horizontal="left" vertical="center" wrapText="1"/>
    </xf>
    <xf numFmtId="0" fontId="16" fillId="0" borderId="1" xfId="0" applyFont="1" applyBorder="1" applyAlignment="1">
      <alignment horizontal="justify" vertical="center" wrapText="1"/>
    </xf>
    <xf numFmtId="0" fontId="26" fillId="0" borderId="1" xfId="0" applyFont="1" applyBorder="1" applyAlignment="1">
      <alignment horizontal="center" vertical="center" wrapText="1"/>
    </xf>
    <xf numFmtId="0" fontId="16" fillId="13" borderId="1" xfId="0" applyFont="1" applyFill="1" applyBorder="1" applyAlignment="1">
      <alignment vertical="center" wrapText="1"/>
    </xf>
    <xf numFmtId="0" fontId="27" fillId="0" borderId="1" xfId="0" applyFont="1" applyBorder="1" applyAlignment="1">
      <alignment horizontal="center" vertical="center" wrapText="1"/>
    </xf>
    <xf numFmtId="0" fontId="25" fillId="13" borderId="1" xfId="0" applyFont="1" applyFill="1" applyBorder="1" applyAlignment="1">
      <alignment vertical="center" wrapText="1"/>
    </xf>
    <xf numFmtId="0" fontId="25" fillId="0" borderId="1" xfId="0" applyFont="1" applyBorder="1" applyAlignment="1">
      <alignment vertical="center" wrapText="1"/>
    </xf>
    <xf numFmtId="0" fontId="28" fillId="0" borderId="1" xfId="3" applyBorder="1"/>
    <xf numFmtId="0" fontId="27" fillId="0" borderId="3" xfId="0" applyFont="1" applyBorder="1" applyAlignment="1">
      <alignment horizontal="center" vertical="center" wrapText="1"/>
    </xf>
    <xf numFmtId="9" fontId="29" fillId="0" borderId="1" xfId="0" applyNumberFormat="1" applyFont="1" applyBorder="1" applyAlignment="1">
      <alignment horizontal="center" vertical="center" wrapText="1"/>
    </xf>
    <xf numFmtId="0" fontId="30" fillId="0" borderId="16" xfId="0" applyFont="1" applyBorder="1" applyAlignment="1">
      <alignment horizontal="center" vertical="center" wrapText="1"/>
    </xf>
    <xf numFmtId="9" fontId="16" fillId="0" borderId="1" xfId="0" applyNumberFormat="1" applyFont="1" applyBorder="1" applyAlignment="1">
      <alignment horizontal="center" vertical="center"/>
    </xf>
    <xf numFmtId="0" fontId="16" fillId="0" borderId="2" xfId="0" applyFont="1" applyBorder="1" applyAlignment="1">
      <alignment horizontal="justify" vertical="center"/>
    </xf>
    <xf numFmtId="0" fontId="25" fillId="0" borderId="2" xfId="0" applyFont="1" applyBorder="1" applyAlignment="1">
      <alignment vertical="center" wrapText="1"/>
    </xf>
    <xf numFmtId="0" fontId="25" fillId="0" borderId="27" xfId="0" applyFont="1" applyBorder="1" applyAlignment="1">
      <alignment horizontal="left" vertical="center" wrapText="1"/>
    </xf>
    <xf numFmtId="0" fontId="25" fillId="0" borderId="28" xfId="0" applyFont="1" applyBorder="1" applyAlignment="1">
      <alignment vertical="center" wrapText="1"/>
    </xf>
    <xf numFmtId="0" fontId="30" fillId="0" borderId="3" xfId="0" applyFont="1" applyBorder="1" applyAlignment="1">
      <alignment horizontal="center" vertical="center" wrapText="1"/>
    </xf>
    <xf numFmtId="0" fontId="25" fillId="0" borderId="29" xfId="0" applyFont="1" applyBorder="1" applyAlignment="1">
      <alignment horizontal="left" vertical="center" wrapText="1"/>
    </xf>
    <xf numFmtId="0" fontId="25" fillId="0" borderId="30" xfId="0" applyFont="1" applyBorder="1" applyAlignment="1">
      <alignment vertical="center" wrapText="1"/>
    </xf>
    <xf numFmtId="0" fontId="16" fillId="0" borderId="31" xfId="0" applyFont="1" applyBorder="1" applyAlignment="1">
      <alignment vertical="center" wrapText="1"/>
    </xf>
    <xf numFmtId="0" fontId="26" fillId="0" borderId="1" xfId="0" applyFont="1" applyBorder="1" applyAlignment="1">
      <alignment horizontal="center" wrapText="1"/>
    </xf>
    <xf numFmtId="0" fontId="27" fillId="0" borderId="0" xfId="0" applyFont="1" applyAlignment="1">
      <alignment horizontal="center" vertical="center" wrapText="1"/>
    </xf>
    <xf numFmtId="0" fontId="25" fillId="0" borderId="30" xfId="0" applyFont="1" applyBorder="1" applyAlignment="1">
      <alignment horizontal="left" vertical="center" wrapText="1"/>
    </xf>
    <xf numFmtId="0" fontId="10" fillId="0" borderId="3" xfId="0" applyFont="1" applyBorder="1" applyAlignment="1">
      <alignment horizontal="center" vertical="center"/>
    </xf>
    <xf numFmtId="0" fontId="11" fillId="6" borderId="7" xfId="0" applyFont="1" applyFill="1" applyBorder="1" applyAlignment="1">
      <alignment horizontal="center"/>
    </xf>
    <xf numFmtId="0" fontId="0" fillId="0" borderId="2" xfId="0" applyBorder="1" applyAlignment="1">
      <alignment horizontal="center" wrapText="1"/>
    </xf>
    <xf numFmtId="0" fontId="14" fillId="0" borderId="1" xfId="0" applyFont="1" applyBorder="1" applyAlignment="1">
      <alignment horizontal="left" vertical="center" wrapText="1"/>
    </xf>
    <xf numFmtId="10" fontId="2" fillId="0" borderId="1" xfId="0" applyNumberFormat="1" applyFont="1" applyBorder="1" applyAlignment="1">
      <alignment horizontal="center" vertical="center" wrapText="1"/>
    </xf>
    <xf numFmtId="0" fontId="11" fillId="0" borderId="1" xfId="0" applyFont="1" applyBorder="1" applyAlignment="1">
      <alignment horizontal="center" vertical="center"/>
    </xf>
    <xf numFmtId="0" fontId="17" fillId="0" borderId="6" xfId="0" applyFont="1" applyBorder="1" applyAlignment="1">
      <alignment horizontal="left" wrapText="1"/>
    </xf>
    <xf numFmtId="0" fontId="17" fillId="0" borderId="1" xfId="0" applyFont="1" applyBorder="1" applyAlignment="1">
      <alignment horizontal="justify" vertical="top" wrapText="1"/>
    </xf>
    <xf numFmtId="0" fontId="17" fillId="0" borderId="1" xfId="0" applyFont="1" applyBorder="1" applyAlignment="1">
      <alignment horizontal="justify" vertical="top"/>
    </xf>
    <xf numFmtId="0" fontId="31" fillId="0" borderId="1" xfId="0" applyFont="1" applyBorder="1" applyAlignment="1">
      <alignment horizontal="left" vertical="center" wrapText="1"/>
    </xf>
    <xf numFmtId="0" fontId="18" fillId="0" borderId="1" xfId="0" applyFont="1" applyBorder="1" applyAlignment="1">
      <alignment horizontal="left" vertical="center" wrapText="1"/>
    </xf>
    <xf numFmtId="0" fontId="11" fillId="0" borderId="6" xfId="0" applyFont="1" applyBorder="1" applyAlignment="1">
      <alignment horizontal="center" vertical="center"/>
    </xf>
    <xf numFmtId="0" fontId="31" fillId="0" borderId="1" xfId="0" applyFont="1" applyBorder="1" applyAlignment="1">
      <alignment horizontal="center" vertical="center" wrapText="1"/>
    </xf>
    <xf numFmtId="9" fontId="2" fillId="0" borderId="6" xfId="0" applyNumberFormat="1" applyFont="1" applyBorder="1" applyAlignment="1">
      <alignment horizontal="center" vertical="center" wrapText="1"/>
    </xf>
    <xf numFmtId="0" fontId="33" fillId="0" borderId="33" xfId="0" applyFont="1" applyBorder="1" applyAlignment="1">
      <alignment horizontal="left" vertical="top" wrapText="1"/>
    </xf>
    <xf numFmtId="10" fontId="7" fillId="0" borderId="6" xfId="0" applyNumberFormat="1" applyFont="1" applyBorder="1" applyAlignment="1">
      <alignment horizontal="center" vertical="center" wrapText="1"/>
    </xf>
    <xf numFmtId="0" fontId="34" fillId="0" borderId="1" xfId="0" applyFont="1" applyBorder="1" applyAlignment="1">
      <alignment wrapText="1"/>
    </xf>
    <xf numFmtId="0" fontId="33" fillId="0" borderId="29" xfId="0" applyFont="1" applyBorder="1" applyAlignment="1">
      <alignment horizontal="left" vertical="top" wrapText="1"/>
    </xf>
    <xf numFmtId="0" fontId="34" fillId="0" borderId="1" xfId="0" applyFont="1" applyBorder="1" applyAlignment="1">
      <alignment vertical="center" wrapText="1"/>
    </xf>
    <xf numFmtId="0" fontId="11" fillId="6" borderId="2" xfId="0" applyFont="1" applyFill="1" applyBorder="1" applyAlignment="1">
      <alignment horizontal="center"/>
    </xf>
    <xf numFmtId="0" fontId="5" fillId="0" borderId="1" xfId="0" applyFont="1" applyBorder="1" applyAlignment="1">
      <alignment horizontal="center" vertical="center" wrapText="1"/>
    </xf>
    <xf numFmtId="9" fontId="11" fillId="6" borderId="12" xfId="0" applyNumberFormat="1" applyFont="1" applyFill="1" applyBorder="1" applyAlignment="1">
      <alignment horizontal="center"/>
    </xf>
    <xf numFmtId="9" fontId="3" fillId="0" borderId="1" xfId="0" applyNumberFormat="1" applyFont="1" applyBorder="1" applyAlignment="1">
      <alignment horizontal="center" vertical="center" wrapText="1"/>
    </xf>
    <xf numFmtId="0" fontId="3" fillId="0" borderId="1" xfId="0" applyFont="1" applyBorder="1" applyAlignment="1">
      <alignment horizontal="justify" vertical="center" wrapText="1"/>
    </xf>
    <xf numFmtId="0" fontId="6" fillId="0" borderId="1" xfId="0" applyFont="1" applyBorder="1" applyAlignment="1">
      <alignment horizontal="center" vertical="center"/>
    </xf>
    <xf numFmtId="0" fontId="3" fillId="0" borderId="1" xfId="0" applyFont="1" applyBorder="1" applyAlignment="1">
      <alignment vertical="center" wrapText="1"/>
    </xf>
    <xf numFmtId="0" fontId="14" fillId="0" borderId="1" xfId="0" applyFont="1" applyBorder="1" applyAlignment="1">
      <alignment horizontal="center" vertical="center" wrapText="1"/>
    </xf>
    <xf numFmtId="9" fontId="3" fillId="0" borderId="6" xfId="0" applyNumberFormat="1" applyFont="1" applyBorder="1" applyAlignment="1">
      <alignment horizontal="center" vertical="center" wrapText="1"/>
    </xf>
    <xf numFmtId="0" fontId="3" fillId="0" borderId="6" xfId="0" applyFont="1" applyBorder="1" applyAlignment="1">
      <alignment horizontal="justify" vertical="center" wrapText="1"/>
    </xf>
    <xf numFmtId="0" fontId="14" fillId="0" borderId="6" xfId="0" applyFont="1" applyBorder="1" applyAlignment="1">
      <alignment horizontal="center" vertical="center" wrapText="1"/>
    </xf>
    <xf numFmtId="0" fontId="3" fillId="0" borderId="1" xfId="0" applyFont="1" applyBorder="1" applyAlignment="1">
      <alignment vertical="top" wrapText="1"/>
    </xf>
    <xf numFmtId="165" fontId="3" fillId="0" borderId="1" xfId="0" applyNumberFormat="1" applyFont="1" applyBorder="1" applyAlignment="1">
      <alignment horizontal="center" vertical="center" wrapText="1"/>
    </xf>
    <xf numFmtId="0" fontId="3" fillId="0" borderId="1" xfId="0" applyFont="1" applyBorder="1" applyAlignment="1">
      <alignment horizontal="justify" vertical="top" wrapText="1"/>
    </xf>
    <xf numFmtId="1" fontId="8" fillId="0" borderId="1" xfId="1" applyNumberFormat="1" applyFont="1" applyBorder="1" applyAlignment="1" applyProtection="1">
      <alignment horizontal="center" vertical="center"/>
    </xf>
    <xf numFmtId="9" fontId="0" fillId="0" borderId="0" xfId="0" applyNumberFormat="1"/>
    <xf numFmtId="0" fontId="6" fillId="0" borderId="4" xfId="0" applyFont="1" applyBorder="1" applyAlignment="1">
      <alignment horizontal="center" vertical="center"/>
    </xf>
    <xf numFmtId="9" fontId="11" fillId="6" borderId="20" xfId="0" applyNumberFormat="1" applyFont="1" applyFill="1" applyBorder="1" applyAlignment="1">
      <alignment horizontal="center"/>
    </xf>
    <xf numFmtId="9" fontId="11" fillId="6" borderId="14" xfId="1" applyFont="1" applyFill="1" applyBorder="1" applyAlignment="1">
      <alignment horizontal="center"/>
    </xf>
    <xf numFmtId="0" fontId="35" fillId="0" borderId="1" xfId="0" applyFont="1" applyBorder="1" applyAlignment="1">
      <alignment vertical="top" wrapText="1"/>
    </xf>
    <xf numFmtId="9" fontId="0" fillId="0" borderId="1" xfId="0" applyNumberFormat="1" applyBorder="1"/>
    <xf numFmtId="0" fontId="36" fillId="2" borderId="1" xfId="2" applyFont="1" applyFill="1" applyBorder="1" applyAlignment="1">
      <alignment vertical="top" wrapText="1"/>
    </xf>
    <xf numFmtId="0" fontId="36" fillId="2" borderId="1" xfId="2" applyFont="1" applyFill="1" applyBorder="1" applyAlignment="1">
      <alignment horizontal="justify" vertical="top" wrapText="1"/>
    </xf>
    <xf numFmtId="0" fontId="36" fillId="2" borderId="1" xfId="2" applyFont="1" applyFill="1" applyBorder="1" applyAlignment="1">
      <alignment horizontal="left" vertical="center" wrapText="1"/>
    </xf>
    <xf numFmtId="0" fontId="36" fillId="0" borderId="1" xfId="2" applyFont="1" applyBorder="1" applyAlignment="1">
      <alignment horizontal="justify" vertical="top" wrapText="1"/>
    </xf>
    <xf numFmtId="0" fontId="3" fillId="0" borderId="1" xfId="2" applyFont="1" applyBorder="1" applyAlignment="1">
      <alignment horizontal="justify" vertical="top" wrapText="1"/>
    </xf>
    <xf numFmtId="0" fontId="37" fillId="0" borderId="0" xfId="0" applyFont="1" applyAlignment="1">
      <alignment vertical="center"/>
    </xf>
    <xf numFmtId="0" fontId="3" fillId="0" borderId="4" xfId="2" applyFont="1" applyBorder="1" applyAlignment="1">
      <alignment horizontal="justify" vertical="top" wrapText="1"/>
    </xf>
    <xf numFmtId="0" fontId="26" fillId="0" borderId="0" xfId="0" applyFont="1" applyAlignment="1">
      <alignment vertical="center"/>
    </xf>
    <xf numFmtId="0" fontId="0" fillId="0" borderId="1" xfId="0" applyBorder="1" applyAlignment="1">
      <alignment wrapText="1"/>
    </xf>
    <xf numFmtId="9" fontId="11" fillId="6" borderId="1" xfId="0" applyNumberFormat="1" applyFont="1" applyFill="1" applyBorder="1" applyAlignment="1">
      <alignment horizontal="center"/>
    </xf>
    <xf numFmtId="0" fontId="0" fillId="0" borderId="3" xfId="0" applyBorder="1"/>
    <xf numFmtId="0" fontId="17" fillId="2" borderId="1" xfId="2" applyFont="1" applyFill="1" applyBorder="1" applyAlignment="1">
      <alignment vertical="top" wrapText="1"/>
    </xf>
    <xf numFmtId="0" fontId="17" fillId="2" borderId="1" xfId="2" applyFont="1" applyFill="1" applyBorder="1" applyAlignment="1">
      <alignment horizontal="justify" vertical="top" wrapText="1"/>
    </xf>
    <xf numFmtId="0" fontId="17" fillId="0" borderId="1" xfId="2" applyFont="1" applyBorder="1" applyAlignment="1">
      <alignment horizontal="justify" vertical="top" wrapText="1"/>
    </xf>
    <xf numFmtId="0" fontId="2" fillId="0" borderId="16" xfId="0" applyFont="1" applyBorder="1" applyAlignment="1">
      <alignment horizontal="center" vertical="center" wrapText="1"/>
    </xf>
    <xf numFmtId="0" fontId="2" fillId="0" borderId="3" xfId="0" applyFont="1" applyBorder="1" applyAlignment="1">
      <alignment horizontal="center" vertical="center" wrapText="1"/>
    </xf>
    <xf numFmtId="0" fontId="16" fillId="0" borderId="1" xfId="0" applyFont="1" applyBorder="1" applyAlignment="1">
      <alignment horizontal="left"/>
    </xf>
    <xf numFmtId="0" fontId="16" fillId="0" borderId="6" xfId="0" applyFont="1" applyBorder="1" applyAlignment="1">
      <alignment horizontal="left"/>
    </xf>
    <xf numFmtId="0" fontId="2" fillId="5" borderId="2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20"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11" fillId="5" borderId="15"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3" xfId="0" applyFont="1" applyFill="1" applyBorder="1" applyAlignment="1">
      <alignment horizontal="center" vertical="center"/>
    </xf>
    <xf numFmtId="0" fontId="7" fillId="3" borderId="1"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6" fillId="0" borderId="1" xfId="0" applyFont="1" applyBorder="1" applyAlignment="1">
      <alignment horizontal="center" vertical="center" wrapText="1"/>
    </xf>
    <xf numFmtId="9" fontId="21" fillId="0" borderId="11" xfId="1" applyFont="1" applyFill="1" applyBorder="1" applyAlignment="1">
      <alignment horizontal="center"/>
    </xf>
    <xf numFmtId="9" fontId="21" fillId="0" borderId="24" xfId="1" applyFont="1" applyFill="1" applyBorder="1" applyAlignment="1">
      <alignment horizontal="center"/>
    </xf>
    <xf numFmtId="9" fontId="21" fillId="0" borderId="12" xfId="1" applyFont="1" applyFill="1" applyBorder="1" applyAlignment="1">
      <alignment horizontal="center"/>
    </xf>
    <xf numFmtId="0" fontId="11" fillId="6" borderId="24" xfId="0" applyFont="1" applyFill="1" applyBorder="1" applyAlignment="1">
      <alignment horizontal="center"/>
    </xf>
    <xf numFmtId="0" fontId="11" fillId="6" borderId="12" xfId="0" applyFont="1" applyFill="1" applyBorder="1" applyAlignment="1">
      <alignment horizontal="center"/>
    </xf>
    <xf numFmtId="0" fontId="11" fillId="5" borderId="1" xfId="0" applyFont="1" applyFill="1" applyBorder="1" applyAlignment="1">
      <alignment horizontal="center" vertical="center"/>
    </xf>
    <xf numFmtId="0" fontId="11" fillId="6" borderId="11" xfId="0" applyFont="1" applyFill="1" applyBorder="1" applyAlignment="1">
      <alignment horizontal="center"/>
    </xf>
    <xf numFmtId="0" fontId="12" fillId="5" borderId="2" xfId="0" applyFont="1" applyFill="1" applyBorder="1" applyAlignment="1">
      <alignment horizontal="center"/>
    </xf>
    <xf numFmtId="0" fontId="12" fillId="5" borderId="7" xfId="0" applyFont="1" applyFill="1" applyBorder="1" applyAlignment="1">
      <alignment horizontal="center"/>
    </xf>
    <xf numFmtId="0" fontId="12" fillId="5" borderId="3" xfId="0" applyFont="1" applyFill="1" applyBorder="1" applyAlignment="1">
      <alignment horizontal="center"/>
    </xf>
    <xf numFmtId="0" fontId="8" fillId="4" borderId="1" xfId="0" applyFont="1" applyFill="1" applyBorder="1" applyAlignment="1">
      <alignment horizontal="center" vertical="center"/>
    </xf>
    <xf numFmtId="0" fontId="11" fillId="5" borderId="6" xfId="0" applyFont="1" applyFill="1" applyBorder="1" applyAlignment="1">
      <alignment horizontal="center" vertical="center"/>
    </xf>
    <xf numFmtId="0" fontId="12" fillId="5" borderId="26" xfId="0" applyFont="1" applyFill="1" applyBorder="1" applyAlignment="1">
      <alignment horizontal="center"/>
    </xf>
    <xf numFmtId="9" fontId="21" fillId="0" borderId="2" xfId="1" applyFont="1" applyFill="1" applyBorder="1" applyAlignment="1">
      <alignment horizontal="center"/>
    </xf>
    <xf numFmtId="9" fontId="21" fillId="0" borderId="7" xfId="1" applyFont="1" applyFill="1" applyBorder="1" applyAlignment="1">
      <alignment horizontal="center"/>
    </xf>
    <xf numFmtId="9" fontId="21" fillId="0" borderId="3" xfId="1" applyFont="1" applyFill="1" applyBorder="1" applyAlignment="1">
      <alignment horizontal="center"/>
    </xf>
    <xf numFmtId="0" fontId="11" fillId="6" borderId="15" xfId="0" applyFont="1" applyFill="1" applyBorder="1" applyAlignment="1">
      <alignment horizontal="center"/>
    </xf>
    <xf numFmtId="0" fontId="11" fillId="6" borderId="16" xfId="0" applyFont="1" applyFill="1" applyBorder="1" applyAlignment="1">
      <alignment horizont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12" fillId="5" borderId="17" xfId="0" applyFont="1" applyFill="1" applyBorder="1" applyAlignment="1">
      <alignment horizontal="center"/>
    </xf>
    <xf numFmtId="0" fontId="12" fillId="5" borderId="6" xfId="0" applyFont="1" applyFill="1" applyBorder="1" applyAlignment="1">
      <alignment horizontal="center"/>
    </xf>
    <xf numFmtId="0" fontId="12" fillId="5" borderId="10" xfId="0" applyFont="1" applyFill="1" applyBorder="1" applyAlignment="1">
      <alignment horizontal="center"/>
    </xf>
    <xf numFmtId="0" fontId="2" fillId="5" borderId="12"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12" fillId="5" borderId="1" xfId="0" applyFont="1" applyFill="1" applyBorder="1" applyAlignment="1">
      <alignment horizontal="center"/>
    </xf>
    <xf numFmtId="0" fontId="12" fillId="5" borderId="8" xfId="0" applyFont="1" applyFill="1" applyBorder="1" applyAlignment="1">
      <alignment horizontal="center"/>
    </xf>
    <xf numFmtId="0" fontId="11" fillId="5" borderId="9" xfId="0" applyFont="1" applyFill="1" applyBorder="1" applyAlignment="1">
      <alignment horizontal="center" vertical="center"/>
    </xf>
    <xf numFmtId="0" fontId="11" fillId="5" borderId="10"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6" fillId="0" borderId="1" xfId="0" applyFont="1" applyBorder="1" applyAlignment="1">
      <alignment horizontal="center" vertical="center"/>
    </xf>
    <xf numFmtId="0" fontId="11" fillId="5" borderId="24"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2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0" borderId="12" xfId="0" applyFont="1" applyBorder="1" applyAlignment="1">
      <alignment horizontal="center" vertical="center"/>
    </xf>
    <xf numFmtId="0" fontId="6" fillId="0" borderId="14" xfId="0" applyFont="1" applyBorder="1" applyAlignment="1">
      <alignment horizontal="center" vertical="center"/>
    </xf>
    <xf numFmtId="0" fontId="6" fillId="0" borderId="16" xfId="0" applyFont="1" applyBorder="1" applyAlignment="1">
      <alignment horizontal="center" vertical="center"/>
    </xf>
    <xf numFmtId="0" fontId="16" fillId="0" borderId="2" xfId="0" applyFont="1" applyBorder="1" applyAlignment="1">
      <alignment horizontal="left"/>
    </xf>
    <xf numFmtId="0" fontId="16" fillId="0" borderId="7" xfId="0" applyFont="1" applyBorder="1" applyAlignment="1">
      <alignment horizontal="left"/>
    </xf>
    <xf numFmtId="0" fontId="16" fillId="0" borderId="3" xfId="0" applyFont="1" applyBorder="1" applyAlignment="1">
      <alignment horizontal="left"/>
    </xf>
    <xf numFmtId="0" fontId="7" fillId="3" borderId="11"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11" fillId="5" borderId="2" xfId="0" applyFont="1" applyFill="1" applyBorder="1" applyAlignment="1">
      <alignment horizontal="center" vertical="center"/>
    </xf>
    <xf numFmtId="0" fontId="11" fillId="5" borderId="3" xfId="0" applyFont="1" applyFill="1" applyBorder="1" applyAlignment="1">
      <alignment horizontal="center" vertical="center"/>
    </xf>
    <xf numFmtId="0" fontId="31" fillId="0" borderId="12" xfId="0" applyFont="1" applyBorder="1" applyAlignment="1">
      <alignment horizontal="center" vertical="center" wrapText="1"/>
    </xf>
    <xf numFmtId="0" fontId="31" fillId="0" borderId="14" xfId="0" applyFont="1" applyBorder="1" applyAlignment="1">
      <alignment horizontal="center" vertical="center" wrapText="1"/>
    </xf>
    <xf numFmtId="0" fontId="31" fillId="0" borderId="16" xfId="0" applyFont="1" applyBorder="1" applyAlignment="1">
      <alignment horizontal="center" vertical="center" wrapText="1"/>
    </xf>
    <xf numFmtId="0" fontId="32" fillId="2" borderId="32" xfId="0" applyFont="1" applyFill="1" applyBorder="1" applyAlignment="1">
      <alignment horizontal="center" vertical="center"/>
    </xf>
    <xf numFmtId="0" fontId="32" fillId="2" borderId="34" xfId="0" applyFont="1" applyFill="1" applyBorder="1" applyAlignment="1">
      <alignment horizontal="center" vertical="center"/>
    </xf>
    <xf numFmtId="0" fontId="11" fillId="6" borderId="11" xfId="0" applyFont="1" applyFill="1" applyBorder="1" applyAlignment="1">
      <alignment horizontal="center" vertical="center"/>
    </xf>
    <xf numFmtId="0" fontId="11" fillId="6" borderId="24"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20" xfId="0" applyFont="1" applyFill="1" applyBorder="1" applyAlignment="1">
      <alignment horizontal="center" vertical="center"/>
    </xf>
    <xf numFmtId="0" fontId="11" fillId="5" borderId="11"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1" fillId="6" borderId="20" xfId="0" applyFont="1" applyFill="1" applyBorder="1" applyAlignment="1">
      <alignment horizontal="center"/>
    </xf>
    <xf numFmtId="0" fontId="11" fillId="5" borderId="12"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2" fillId="5" borderId="16" xfId="0" applyFont="1" applyFill="1" applyBorder="1" applyAlignment="1">
      <alignment horizontal="center"/>
    </xf>
    <xf numFmtId="0" fontId="22" fillId="12" borderId="21" xfId="0" applyFont="1" applyFill="1" applyBorder="1" applyAlignment="1">
      <alignment horizontal="center" vertical="center"/>
    </xf>
    <xf numFmtId="0" fontId="22" fillId="12" borderId="22" xfId="0" applyFont="1" applyFill="1" applyBorder="1" applyAlignment="1">
      <alignment horizontal="center" vertical="center"/>
    </xf>
    <xf numFmtId="0" fontId="22" fillId="12" borderId="23" xfId="0" applyFont="1" applyFill="1" applyBorder="1" applyAlignment="1">
      <alignment horizontal="center" vertical="center"/>
    </xf>
    <xf numFmtId="10" fontId="22" fillId="12" borderId="24" xfId="0" applyNumberFormat="1" applyFont="1" applyFill="1" applyBorder="1" applyAlignment="1">
      <alignment horizontal="center" vertical="center" wrapText="1"/>
    </xf>
    <xf numFmtId="10" fontId="22" fillId="12" borderId="0" xfId="0" applyNumberFormat="1" applyFont="1" applyFill="1" applyAlignment="1">
      <alignment horizontal="center" vertical="center" wrapText="1"/>
    </xf>
    <xf numFmtId="10" fontId="22" fillId="12" borderId="20" xfId="0" applyNumberFormat="1" applyFont="1" applyFill="1" applyBorder="1" applyAlignment="1">
      <alignment horizontal="center" vertical="center" wrapText="1"/>
    </xf>
    <xf numFmtId="0" fontId="6" fillId="2" borderId="12" xfId="0" applyFont="1" applyFill="1" applyBorder="1" applyAlignment="1">
      <alignment horizontal="center" vertical="center"/>
    </xf>
    <xf numFmtId="0" fontId="6" fillId="2" borderId="14" xfId="0" applyFont="1" applyFill="1" applyBorder="1" applyAlignment="1">
      <alignment horizontal="center" vertical="center"/>
    </xf>
  </cellXfs>
  <cellStyles count="6">
    <cellStyle name="Hipervínculo" xfId="3" builtinId="8"/>
    <cellStyle name="Normal" xfId="0" builtinId="0"/>
    <cellStyle name="Normal 2" xfId="5" xr:uid="{8FB2B4E8-19DA-41D5-A1DD-D06319607D78}"/>
    <cellStyle name="Normal 5" xfId="2" xr:uid="{0779BF19-C912-4199-A502-9149571F4FFB}"/>
    <cellStyle name="Porcentaje" xfId="1" builtinId="5"/>
    <cellStyle name="Porcentaje 2" xfId="4" xr:uid="{AAA0E34F-E7C3-4959-A36E-530E961532D1}"/>
  </cellStyles>
  <dxfs count="30">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0C4E0-666C-4D1E-84A1-2BC48CFDE58C}">
  <dimension ref="A1:H39"/>
  <sheetViews>
    <sheetView topLeftCell="B21" workbookViewId="0">
      <selection activeCell="E33" sqref="E33:G33"/>
    </sheetView>
  </sheetViews>
  <sheetFormatPr baseColWidth="10" defaultRowHeight="14.25"/>
  <cols>
    <col min="1" max="1" width="42.375" customWidth="1"/>
    <col min="2" max="2" width="65.625" customWidth="1"/>
    <col min="3" max="4" width="16.125" customWidth="1"/>
    <col min="5" max="5" width="26.875" customWidth="1"/>
    <col min="6" max="6" width="24.625" customWidth="1"/>
    <col min="7" max="7" width="20" customWidth="1"/>
    <col min="8" max="8" width="20.625" customWidth="1"/>
  </cols>
  <sheetData>
    <row r="1" spans="1:8" ht="14.25" customHeight="1"/>
    <row r="2" spans="1:8">
      <c r="A2" s="179" t="s">
        <v>314</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20" t="s">
        <v>294</v>
      </c>
      <c r="C11" s="20"/>
      <c r="D11" s="20"/>
      <c r="E11" s="20"/>
      <c r="F11" s="21"/>
      <c r="G11" s="22"/>
    </row>
    <row r="12" spans="1:8">
      <c r="A12" s="4"/>
      <c r="B12" s="5"/>
      <c r="C12" s="5"/>
      <c r="D12" s="5"/>
      <c r="E12" s="8"/>
      <c r="F12" s="9"/>
      <c r="G12" s="7"/>
      <c r="H12" s="18"/>
    </row>
    <row r="13" spans="1:8" ht="15.75">
      <c r="A13" s="195"/>
      <c r="B13" s="176"/>
      <c r="C13" s="68"/>
      <c r="D13" s="68"/>
      <c r="E13" s="208" t="s">
        <v>313</v>
      </c>
      <c r="F13" s="209"/>
      <c r="G13" s="209"/>
      <c r="H13" s="210"/>
    </row>
    <row r="14" spans="1:8" ht="15.75">
      <c r="A14" s="180" t="s">
        <v>8</v>
      </c>
      <c r="B14" s="211"/>
      <c r="C14" s="180" t="s">
        <v>72</v>
      </c>
      <c r="D14" s="171" t="s">
        <v>73</v>
      </c>
      <c r="E14" s="193"/>
      <c r="F14" s="214"/>
      <c r="G14" s="214"/>
      <c r="H14" s="215"/>
    </row>
    <row r="15" spans="1:8" ht="15">
      <c r="A15" s="181"/>
      <c r="B15" s="212"/>
      <c r="C15" s="181"/>
      <c r="D15" s="172"/>
      <c r="E15" s="16"/>
      <c r="F15" s="11"/>
      <c r="G15" s="12"/>
      <c r="H15" s="12"/>
    </row>
    <row r="16" spans="1:8">
      <c r="A16" s="181"/>
      <c r="B16" s="212"/>
      <c r="C16" s="181"/>
      <c r="D16" s="172"/>
      <c r="E16" s="177" t="s">
        <v>2</v>
      </c>
      <c r="F16" s="177"/>
      <c r="G16" s="178"/>
      <c r="H16" s="216" t="s">
        <v>0</v>
      </c>
    </row>
    <row r="17" spans="1:8" ht="15">
      <c r="A17" s="182"/>
      <c r="B17" s="213"/>
      <c r="C17" s="182"/>
      <c r="D17" s="173"/>
      <c r="E17" s="17" t="s">
        <v>13</v>
      </c>
      <c r="F17" s="10" t="s">
        <v>5</v>
      </c>
      <c r="G17" s="10" t="s">
        <v>6</v>
      </c>
      <c r="H17" s="217"/>
    </row>
    <row r="18" spans="1:8" ht="38.25">
      <c r="A18" s="202" t="s">
        <v>312</v>
      </c>
      <c r="B18" s="166" t="s">
        <v>311</v>
      </c>
      <c r="C18" s="152">
        <v>0.09</v>
      </c>
      <c r="D18" s="70">
        <f t="shared" ref="D18:D31" si="0">IF(COUNTA(E18:G18)&gt;1, "PORFAVOR MARQUE UNA SOLA OPCION", IF(OR(E18&lt;&gt;"", G18&lt;&gt;""), C18, IF(F18&lt;&gt;"", 0, 0)))</f>
        <v>0</v>
      </c>
      <c r="E18" s="3"/>
      <c r="F18" s="1"/>
      <c r="G18" s="18"/>
      <c r="H18" s="161"/>
    </row>
    <row r="19" spans="1:8" ht="25.5">
      <c r="A19" s="203"/>
      <c r="B19" s="165" t="s">
        <v>310</v>
      </c>
      <c r="C19" s="152">
        <v>0.1</v>
      </c>
      <c r="D19" s="70">
        <f t="shared" si="0"/>
        <v>0</v>
      </c>
      <c r="E19" s="168"/>
      <c r="F19" s="1"/>
      <c r="G19" s="18"/>
      <c r="H19" s="18"/>
    </row>
    <row r="20" spans="1:8" ht="27" customHeight="1">
      <c r="A20" s="203"/>
      <c r="B20" s="166" t="s">
        <v>309</v>
      </c>
      <c r="C20" s="152">
        <v>0.06</v>
      </c>
      <c r="D20" s="70">
        <f t="shared" si="0"/>
        <v>0</v>
      </c>
      <c r="E20" s="168"/>
      <c r="F20" s="1"/>
      <c r="G20" s="18"/>
      <c r="H20" s="161"/>
    </row>
    <row r="21" spans="1:8" ht="28.5" customHeight="1">
      <c r="A21" s="203"/>
      <c r="B21" s="166" t="s">
        <v>308</v>
      </c>
      <c r="C21" s="152">
        <v>7.0000000000000007E-2</v>
      </c>
      <c r="D21" s="70">
        <f t="shared" si="0"/>
        <v>0</v>
      </c>
      <c r="E21" s="168"/>
      <c r="F21" s="1"/>
      <c r="G21" s="18"/>
      <c r="H21" s="161"/>
    </row>
    <row r="22" spans="1:8" ht="39" customHeight="1">
      <c r="A22" s="204" t="s">
        <v>307</v>
      </c>
      <c r="B22" s="166" t="s">
        <v>306</v>
      </c>
      <c r="C22" s="152">
        <v>0.11</v>
      </c>
      <c r="D22" s="70">
        <f t="shared" si="0"/>
        <v>0</v>
      </c>
      <c r="E22" s="167"/>
      <c r="F22" s="2"/>
      <c r="G22" s="18"/>
      <c r="H22" s="161"/>
    </row>
    <row r="23" spans="1:8" ht="54.75" customHeight="1">
      <c r="A23" s="204"/>
      <c r="B23" s="166" t="s">
        <v>305</v>
      </c>
      <c r="C23" s="152">
        <v>0.08</v>
      </c>
      <c r="D23" s="70">
        <f t="shared" si="0"/>
        <v>0</v>
      </c>
      <c r="E23" s="167"/>
      <c r="F23" s="2"/>
      <c r="G23" s="18"/>
      <c r="H23" s="161"/>
    </row>
    <row r="24" spans="1:8" ht="43.5" customHeight="1">
      <c r="A24" s="204"/>
      <c r="B24" s="166" t="s">
        <v>304</v>
      </c>
      <c r="C24" s="152">
        <v>0.08</v>
      </c>
      <c r="D24" s="70">
        <f t="shared" si="0"/>
        <v>0</v>
      </c>
      <c r="E24" s="167"/>
      <c r="F24" s="2"/>
      <c r="G24" s="18"/>
      <c r="H24" s="161"/>
    </row>
    <row r="25" spans="1:8" ht="52.5" customHeight="1">
      <c r="A25" s="174" t="s">
        <v>303</v>
      </c>
      <c r="B25" s="166" t="s">
        <v>302</v>
      </c>
      <c r="C25" s="152">
        <v>0.1</v>
      </c>
      <c r="D25" s="70">
        <f t="shared" si="0"/>
        <v>0</v>
      </c>
      <c r="E25" s="163"/>
      <c r="F25" s="18"/>
      <c r="G25" s="18"/>
      <c r="H25" s="161"/>
    </row>
    <row r="26" spans="1:8" ht="30" customHeight="1">
      <c r="A26" s="175"/>
      <c r="B26" s="154" t="s">
        <v>301</v>
      </c>
      <c r="C26" s="152">
        <v>0.08</v>
      </c>
      <c r="D26" s="70">
        <f t="shared" si="0"/>
        <v>0</v>
      </c>
      <c r="E26" s="163"/>
      <c r="F26" s="18"/>
      <c r="G26" s="18"/>
      <c r="H26" s="161"/>
    </row>
    <row r="27" spans="1:8" ht="38.25">
      <c r="A27" s="205" t="s">
        <v>132</v>
      </c>
      <c r="B27" s="164" t="s">
        <v>300</v>
      </c>
      <c r="C27" s="152">
        <v>0.04</v>
      </c>
      <c r="D27" s="70">
        <f t="shared" si="0"/>
        <v>0</v>
      </c>
      <c r="E27" s="163"/>
      <c r="F27" s="18"/>
      <c r="G27" s="18"/>
      <c r="H27" s="161"/>
    </row>
    <row r="28" spans="1:8" ht="15">
      <c r="A28" s="206"/>
      <c r="B28" s="165" t="s">
        <v>299</v>
      </c>
      <c r="C28" s="152">
        <v>0.04</v>
      </c>
      <c r="D28" s="70">
        <f t="shared" si="0"/>
        <v>0</v>
      </c>
      <c r="E28" s="163"/>
      <c r="F28" s="18"/>
      <c r="G28" s="18"/>
      <c r="H28" s="161"/>
    </row>
    <row r="29" spans="1:8" ht="15">
      <c r="A29" s="206"/>
      <c r="B29" s="164" t="s">
        <v>298</v>
      </c>
      <c r="C29" s="152">
        <v>0.04</v>
      </c>
      <c r="D29" s="70">
        <f t="shared" si="0"/>
        <v>0</v>
      </c>
      <c r="E29" s="163"/>
      <c r="F29" s="18"/>
      <c r="G29" s="18"/>
      <c r="H29" s="161"/>
    </row>
    <row r="30" spans="1:8" ht="15">
      <c r="A30" s="206"/>
      <c r="B30" s="164" t="s">
        <v>297</v>
      </c>
      <c r="C30" s="152">
        <v>0.03</v>
      </c>
      <c r="D30" s="70">
        <f t="shared" si="0"/>
        <v>0</v>
      </c>
      <c r="E30" s="163"/>
      <c r="F30" s="18"/>
      <c r="G30" s="18"/>
      <c r="H30" s="161"/>
    </row>
    <row r="31" spans="1:8" ht="15">
      <c r="A31" s="207"/>
      <c r="B31" s="164" t="s">
        <v>296</v>
      </c>
      <c r="C31" s="152">
        <v>0.08</v>
      </c>
      <c r="D31" s="70">
        <f t="shared" si="0"/>
        <v>0</v>
      </c>
      <c r="E31" s="163"/>
      <c r="F31" s="18"/>
      <c r="G31" s="18"/>
      <c r="H31" s="161"/>
    </row>
    <row r="32" spans="1:8" ht="15">
      <c r="A32" s="190" t="s">
        <v>16</v>
      </c>
      <c r="B32" s="188"/>
      <c r="C32" s="162">
        <f>SUM(C18:C31)</f>
        <v>1</v>
      </c>
      <c r="D32" s="80"/>
      <c r="E32" s="84">
        <f>COUNT(E18:E31)</f>
        <v>0</v>
      </c>
      <c r="F32" s="49">
        <f>COUNT(F18:F31)</f>
        <v>0</v>
      </c>
      <c r="G32" s="49">
        <f>COUNT(G18:G31)</f>
        <v>0</v>
      </c>
      <c r="H32" s="161"/>
    </row>
    <row r="33" spans="1:8" s="18" customFormat="1" ht="15">
      <c r="A33" s="200"/>
      <c r="B33" s="201"/>
      <c r="C33" s="83"/>
      <c r="D33" s="114"/>
      <c r="E33" s="198">
        <f>IFERROR((E32/((E32+F32+G32)-G32)),0)</f>
        <v>0</v>
      </c>
      <c r="F33" s="198"/>
      <c r="G33" s="199"/>
      <c r="H33" s="28"/>
    </row>
    <row r="36" spans="1:8" ht="15.75">
      <c r="A36" s="23" t="s">
        <v>67</v>
      </c>
      <c r="B36" s="24" t="s">
        <v>17</v>
      </c>
      <c r="C36" s="51"/>
      <c r="D36" s="51"/>
      <c r="E36" s="51"/>
      <c r="F36" s="52"/>
      <c r="G36" s="52"/>
      <c r="H36" s="53"/>
    </row>
    <row r="37" spans="1:8" ht="15.75">
      <c r="A37" s="25" t="s">
        <v>68</v>
      </c>
      <c r="B37" s="169" t="s">
        <v>69</v>
      </c>
      <c r="C37" s="170"/>
      <c r="D37" s="170"/>
      <c r="E37" s="170"/>
      <c r="F37" s="170"/>
      <c r="G37" s="170"/>
      <c r="H37" s="170"/>
    </row>
    <row r="38" spans="1:8" ht="15.75">
      <c r="A38" s="26" t="s">
        <v>70</v>
      </c>
      <c r="B38" s="169" t="s">
        <v>18</v>
      </c>
      <c r="C38" s="169"/>
      <c r="D38" s="169"/>
      <c r="E38" s="169"/>
      <c r="F38" s="169"/>
      <c r="G38" s="169"/>
      <c r="H38" s="169"/>
    </row>
    <row r="39" spans="1:8" ht="15.75">
      <c r="A39" s="27" t="s">
        <v>19</v>
      </c>
      <c r="B39" s="169" t="s">
        <v>20</v>
      </c>
      <c r="C39" s="169"/>
      <c r="D39" s="169"/>
      <c r="E39" s="169"/>
      <c r="F39" s="169"/>
      <c r="G39" s="169"/>
      <c r="H39" s="169"/>
    </row>
  </sheetData>
  <mergeCells count="18">
    <mergeCell ref="A2:F3"/>
    <mergeCell ref="A13:B13"/>
    <mergeCell ref="E13:H13"/>
    <mergeCell ref="A14:B17"/>
    <mergeCell ref="E14:H14"/>
    <mergeCell ref="E16:G16"/>
    <mergeCell ref="H16:H17"/>
    <mergeCell ref="D14:D17"/>
    <mergeCell ref="C14:C17"/>
    <mergeCell ref="B37:H37"/>
    <mergeCell ref="B38:H38"/>
    <mergeCell ref="B39:H39"/>
    <mergeCell ref="A18:A21"/>
    <mergeCell ref="A22:A24"/>
    <mergeCell ref="A25:A26"/>
    <mergeCell ref="A27:A31"/>
    <mergeCell ref="A32:B33"/>
    <mergeCell ref="E33:G33"/>
  </mergeCells>
  <conditionalFormatting sqref="E33:G33">
    <cfRule type="colorScale" priority="5">
      <colorScale>
        <cfvo type="num" val="0.5"/>
        <cfvo type="num" val="0.7"/>
        <cfvo type="num" val="1"/>
        <color rgb="FFFF0000"/>
        <color rgb="FFFFEB84"/>
        <color theme="9" tint="-0.249977111117893"/>
      </colorScale>
    </cfRule>
  </conditionalFormatting>
  <conditionalFormatting sqref="D18:D31">
    <cfRule type="cellIs" dxfId="29" priority="1" operator="equal">
      <formula>0</formula>
    </cfRule>
    <cfRule type="containsText" dxfId="28" priority="2" operator="containsText" text="PORFAVOR MARQUE UNA SOLA OPCION">
      <formula>NOT(ISERROR(SEARCH("PORFAVOR MARQUE UNA SOLA OPCION",D18)))</formula>
    </cfRule>
    <cfRule type="cellIs" dxfId="27" priority="3" operator="greaterThan">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A9D8-E063-43D8-BCFF-C28B0BB97E99}">
  <dimension ref="A1:J51"/>
  <sheetViews>
    <sheetView topLeftCell="B26" workbookViewId="0">
      <selection activeCell="D43" sqref="D43"/>
    </sheetView>
  </sheetViews>
  <sheetFormatPr baseColWidth="10" defaultRowHeight="14.25"/>
  <cols>
    <col min="1" max="1" width="42.375" customWidth="1"/>
    <col min="2" max="2" width="65.625" customWidth="1"/>
    <col min="3" max="3" width="18.625" customWidth="1"/>
    <col min="4" max="4" width="17.75" customWidth="1"/>
    <col min="5" max="5" width="26.875" customWidth="1"/>
    <col min="6" max="6" width="24.625" customWidth="1"/>
    <col min="7" max="7" width="20" customWidth="1"/>
    <col min="8" max="8" width="20.625" customWidth="1"/>
  </cols>
  <sheetData>
    <row r="1" spans="1:8" ht="14.25" customHeight="1"/>
    <row r="2" spans="1:8">
      <c r="A2" s="179" t="s">
        <v>295</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20" t="s">
        <v>294</v>
      </c>
      <c r="C11" s="20"/>
      <c r="D11" s="20"/>
      <c r="E11" s="20"/>
      <c r="F11" s="21"/>
      <c r="G11" s="22"/>
    </row>
    <row r="12" spans="1:8">
      <c r="A12" s="4"/>
      <c r="B12" s="5"/>
      <c r="C12" s="5"/>
      <c r="D12" s="5"/>
      <c r="E12" s="8"/>
      <c r="F12" s="9"/>
      <c r="G12" s="7"/>
      <c r="H12" s="18"/>
    </row>
    <row r="13" spans="1:8" ht="15.75">
      <c r="A13" s="195"/>
      <c r="B13" s="176"/>
      <c r="C13" s="221" t="s">
        <v>72</v>
      </c>
      <c r="D13" s="221" t="s">
        <v>73</v>
      </c>
      <c r="E13" s="208" t="s">
        <v>293</v>
      </c>
      <c r="F13" s="209"/>
      <c r="G13" s="209"/>
      <c r="H13" s="210"/>
    </row>
    <row r="14" spans="1:8" ht="15.75">
      <c r="A14" s="180" t="s">
        <v>8</v>
      </c>
      <c r="B14" s="211"/>
      <c r="C14" s="222"/>
      <c r="D14" s="222"/>
      <c r="E14" s="193"/>
      <c r="F14" s="214"/>
      <c r="G14" s="214"/>
      <c r="H14" s="215"/>
    </row>
    <row r="15" spans="1:8" ht="15">
      <c r="A15" s="181"/>
      <c r="B15" s="212"/>
      <c r="C15" s="222"/>
      <c r="D15" s="222"/>
      <c r="E15" s="16"/>
      <c r="F15" s="11"/>
      <c r="G15" s="12"/>
      <c r="H15" s="12"/>
    </row>
    <row r="16" spans="1:8">
      <c r="A16" s="181"/>
      <c r="B16" s="212"/>
      <c r="C16" s="222"/>
      <c r="D16" s="222"/>
      <c r="E16" s="194" t="s">
        <v>2</v>
      </c>
      <c r="F16" s="194"/>
      <c r="G16" s="194"/>
      <c r="H16" s="216" t="s">
        <v>0</v>
      </c>
    </row>
    <row r="17" spans="1:10" ht="15">
      <c r="A17" s="182"/>
      <c r="B17" s="213"/>
      <c r="C17" s="223"/>
      <c r="D17" s="223"/>
      <c r="E17" s="17" t="s">
        <v>13</v>
      </c>
      <c r="F17" s="10" t="s">
        <v>5</v>
      </c>
      <c r="G17" s="10" t="s">
        <v>6</v>
      </c>
      <c r="H17" s="217"/>
    </row>
    <row r="18" spans="1:10" ht="36">
      <c r="A18" s="202" t="s">
        <v>292</v>
      </c>
      <c r="B18" s="157" t="s">
        <v>291</v>
      </c>
      <c r="C18" s="152">
        <v>0.1</v>
      </c>
      <c r="D18" s="70">
        <f t="shared" ref="D18:D43" si="0">IF(COUNTA(E18:G18)&gt;1, "PORFAVOR MARQUE UNA SOLA OPCION", IF(OR(E18&lt;&gt;"", G18&lt;&gt;""), C18, IF(F18&lt;&gt;"", 0, 0)))</f>
        <v>0</v>
      </c>
      <c r="E18" s="5"/>
      <c r="F18" s="1"/>
      <c r="G18" s="18"/>
      <c r="H18" s="161"/>
    </row>
    <row r="19" spans="1:10" ht="15">
      <c r="A19" s="203"/>
      <c r="B19" s="157" t="s">
        <v>290</v>
      </c>
      <c r="C19" s="152">
        <v>0.1</v>
      </c>
      <c r="D19" s="70">
        <f t="shared" si="0"/>
        <v>0</v>
      </c>
      <c r="E19" s="1"/>
      <c r="F19" s="1"/>
      <c r="G19" s="18"/>
      <c r="H19" s="18"/>
    </row>
    <row r="20" spans="1:10" ht="36">
      <c r="A20" s="218" t="s">
        <v>289</v>
      </c>
      <c r="B20" s="159" t="s">
        <v>288</v>
      </c>
      <c r="C20" s="152">
        <v>0.05</v>
      </c>
      <c r="D20" s="70">
        <f t="shared" si="0"/>
        <v>0</v>
      </c>
      <c r="E20" s="1"/>
      <c r="F20" s="1"/>
      <c r="G20" s="18"/>
      <c r="H20" s="160"/>
    </row>
    <row r="21" spans="1:10" ht="60.75" customHeight="1">
      <c r="A21" s="219"/>
      <c r="B21" s="159" t="s">
        <v>287</v>
      </c>
      <c r="C21" s="152">
        <v>0.05</v>
      </c>
      <c r="D21" s="70">
        <f t="shared" si="0"/>
        <v>0</v>
      </c>
      <c r="E21" s="1"/>
      <c r="F21" s="1"/>
      <c r="G21" s="18"/>
      <c r="H21" s="160"/>
      <c r="J21" s="18"/>
    </row>
    <row r="22" spans="1:10" ht="36">
      <c r="A22" s="219"/>
      <c r="B22" s="159" t="s">
        <v>286</v>
      </c>
      <c r="C22" s="152">
        <v>0.05</v>
      </c>
      <c r="D22" s="70">
        <f t="shared" si="0"/>
        <v>0</v>
      </c>
      <c r="E22" s="1"/>
      <c r="F22" s="1"/>
      <c r="G22" s="18"/>
      <c r="H22" s="18"/>
    </row>
    <row r="23" spans="1:10" ht="60.75" customHeight="1">
      <c r="A23" s="219"/>
      <c r="B23" s="159" t="s">
        <v>285</v>
      </c>
      <c r="C23" s="152">
        <v>0.06</v>
      </c>
      <c r="D23" s="70">
        <f t="shared" si="0"/>
        <v>0</v>
      </c>
      <c r="E23" s="1"/>
      <c r="F23" s="2"/>
      <c r="G23" s="18"/>
      <c r="H23" s="18"/>
    </row>
    <row r="24" spans="1:10" ht="26.25" customHeight="1">
      <c r="A24" s="219"/>
      <c r="B24" s="159" t="s">
        <v>284</v>
      </c>
      <c r="C24" s="152">
        <v>0.06</v>
      </c>
      <c r="D24" s="70">
        <f t="shared" si="0"/>
        <v>0</v>
      </c>
      <c r="E24" s="1"/>
      <c r="F24" s="2"/>
      <c r="G24" s="18"/>
      <c r="H24" s="18"/>
    </row>
    <row r="25" spans="1:10" ht="36">
      <c r="A25" s="219"/>
      <c r="B25" s="159" t="s">
        <v>283</v>
      </c>
      <c r="C25" s="152">
        <v>0.05</v>
      </c>
      <c r="D25" s="70">
        <f t="shared" si="0"/>
        <v>0</v>
      </c>
      <c r="E25" s="1"/>
      <c r="F25" s="2"/>
      <c r="G25" s="18"/>
      <c r="H25" s="18"/>
    </row>
    <row r="26" spans="1:10" ht="27" customHeight="1">
      <c r="A26" s="204" t="s">
        <v>282</v>
      </c>
      <c r="B26" s="157" t="s">
        <v>281</v>
      </c>
      <c r="C26" s="152">
        <v>0.01</v>
      </c>
      <c r="D26" s="70">
        <f t="shared" si="0"/>
        <v>0</v>
      </c>
      <c r="E26" s="1"/>
      <c r="F26" s="2"/>
      <c r="G26" s="18"/>
      <c r="H26" s="18"/>
    </row>
    <row r="27" spans="1:10" ht="24.75" customHeight="1">
      <c r="A27" s="204"/>
      <c r="B27" s="157" t="s">
        <v>280</v>
      </c>
      <c r="C27" s="152">
        <v>0.02</v>
      </c>
      <c r="D27" s="70">
        <f t="shared" si="0"/>
        <v>0</v>
      </c>
      <c r="E27" s="1"/>
      <c r="F27" s="2"/>
      <c r="G27" s="18"/>
      <c r="H27" s="158"/>
    </row>
    <row r="28" spans="1:10" ht="29.25" customHeight="1">
      <c r="A28" s="204"/>
      <c r="B28" s="156" t="s">
        <v>279</v>
      </c>
      <c r="C28" s="152">
        <v>0.03</v>
      </c>
      <c r="D28" s="70">
        <f t="shared" si="0"/>
        <v>0</v>
      </c>
      <c r="E28" s="1"/>
      <c r="F28" s="2"/>
      <c r="G28" s="18"/>
      <c r="H28" s="18"/>
    </row>
    <row r="29" spans="1:10" ht="15">
      <c r="A29" s="204"/>
      <c r="B29" s="157" t="s">
        <v>278</v>
      </c>
      <c r="C29" s="152">
        <v>0.03</v>
      </c>
      <c r="D29" s="70">
        <f t="shared" si="0"/>
        <v>0</v>
      </c>
      <c r="E29" s="1"/>
      <c r="F29" s="2"/>
      <c r="G29" s="18"/>
      <c r="H29" s="18"/>
    </row>
    <row r="30" spans="1:10" ht="36">
      <c r="A30" s="204"/>
      <c r="B30" s="157" t="s">
        <v>277</v>
      </c>
      <c r="C30" s="152">
        <v>0.03</v>
      </c>
      <c r="D30" s="70">
        <f t="shared" si="0"/>
        <v>0</v>
      </c>
      <c r="E30" s="1"/>
      <c r="F30" s="2"/>
      <c r="G30" s="18"/>
      <c r="H30" s="18"/>
    </row>
    <row r="31" spans="1:10" ht="24">
      <c r="A31" s="204"/>
      <c r="B31" s="157" t="s">
        <v>276</v>
      </c>
      <c r="C31" s="152">
        <v>0.02</v>
      </c>
      <c r="D31" s="70">
        <f t="shared" si="0"/>
        <v>0</v>
      </c>
      <c r="E31" s="1"/>
      <c r="F31" s="2"/>
      <c r="G31" s="18"/>
      <c r="H31" s="18"/>
    </row>
    <row r="32" spans="1:10" ht="15">
      <c r="A32" s="204"/>
      <c r="B32" s="157" t="s">
        <v>275</v>
      </c>
      <c r="C32" s="152">
        <v>0.02</v>
      </c>
      <c r="D32" s="70">
        <f t="shared" si="0"/>
        <v>0</v>
      </c>
      <c r="E32" s="1"/>
      <c r="F32" s="2"/>
      <c r="G32" s="18"/>
      <c r="H32" s="18"/>
    </row>
    <row r="33" spans="1:8" ht="15">
      <c r="A33" s="204"/>
      <c r="B33" s="157" t="s">
        <v>274</v>
      </c>
      <c r="C33" s="152">
        <v>0.01</v>
      </c>
      <c r="D33" s="70">
        <f t="shared" si="0"/>
        <v>0</v>
      </c>
      <c r="E33" s="1"/>
      <c r="F33" s="2"/>
      <c r="G33" s="18"/>
      <c r="H33" s="18"/>
    </row>
    <row r="34" spans="1:8" ht="24">
      <c r="A34" s="204"/>
      <c r="B34" s="157" t="s">
        <v>273</v>
      </c>
      <c r="C34" s="152">
        <v>0.01</v>
      </c>
      <c r="D34" s="70">
        <f t="shared" si="0"/>
        <v>0</v>
      </c>
      <c r="E34" s="5"/>
      <c r="F34" s="5"/>
      <c r="G34" s="18"/>
      <c r="H34" s="18"/>
    </row>
    <row r="35" spans="1:8" ht="15">
      <c r="A35" s="204"/>
      <c r="B35" s="157" t="s">
        <v>272</v>
      </c>
      <c r="C35" s="152">
        <v>0.01</v>
      </c>
      <c r="D35" s="70">
        <f t="shared" si="0"/>
        <v>0</v>
      </c>
      <c r="E35" s="5"/>
      <c r="F35" s="5"/>
      <c r="G35" s="18"/>
      <c r="H35" s="18"/>
    </row>
    <row r="36" spans="1:8" ht="15">
      <c r="A36" s="204"/>
      <c r="B36" s="157" t="s">
        <v>271</v>
      </c>
      <c r="C36" s="152">
        <v>0.01</v>
      </c>
      <c r="D36" s="70">
        <f t="shared" si="0"/>
        <v>0</v>
      </c>
      <c r="E36" s="5"/>
      <c r="F36" s="5"/>
      <c r="G36" s="18"/>
      <c r="H36" s="18"/>
    </row>
    <row r="37" spans="1:8" ht="24">
      <c r="A37" s="174" t="s">
        <v>270</v>
      </c>
      <c r="B37" s="157" t="s">
        <v>269</v>
      </c>
      <c r="C37" s="152">
        <v>7.0000000000000007E-2</v>
      </c>
      <c r="D37" s="70">
        <f t="shared" si="0"/>
        <v>0</v>
      </c>
      <c r="E37" s="5"/>
      <c r="F37" s="5"/>
      <c r="G37" s="18"/>
      <c r="H37" s="18"/>
    </row>
    <row r="38" spans="1:8" ht="15">
      <c r="A38" s="175"/>
      <c r="B38" s="156" t="s">
        <v>268</v>
      </c>
      <c r="C38" s="152">
        <v>0.06</v>
      </c>
      <c r="D38" s="70">
        <f t="shared" si="0"/>
        <v>0</v>
      </c>
      <c r="E38" s="5"/>
      <c r="F38" s="5"/>
      <c r="G38" s="18"/>
      <c r="H38" s="18"/>
    </row>
    <row r="39" spans="1:8" ht="15">
      <c r="A39" s="220" t="s">
        <v>267</v>
      </c>
      <c r="B39" s="155" t="s">
        <v>266</v>
      </c>
      <c r="C39" s="152">
        <v>0.03</v>
      </c>
      <c r="D39" s="70">
        <f t="shared" si="0"/>
        <v>0</v>
      </c>
      <c r="E39" s="5"/>
      <c r="F39" s="5"/>
      <c r="G39" s="18"/>
      <c r="H39" s="18"/>
    </row>
    <row r="40" spans="1:8" ht="15">
      <c r="A40" s="220"/>
      <c r="B40" s="155" t="s">
        <v>265</v>
      </c>
      <c r="C40" s="152">
        <v>0.03</v>
      </c>
      <c r="D40" s="70">
        <f t="shared" si="0"/>
        <v>0</v>
      </c>
      <c r="E40" s="5"/>
      <c r="F40" s="5"/>
      <c r="G40" s="18"/>
      <c r="H40" s="18"/>
    </row>
    <row r="41" spans="1:8" ht="24">
      <c r="A41" s="220"/>
      <c r="B41" s="154" t="s">
        <v>264</v>
      </c>
      <c r="C41" s="152">
        <v>0.03</v>
      </c>
      <c r="D41" s="70">
        <f t="shared" si="0"/>
        <v>0</v>
      </c>
      <c r="E41" s="5"/>
      <c r="F41" s="5"/>
      <c r="G41" s="18"/>
      <c r="H41" s="18"/>
    </row>
    <row r="42" spans="1:8" ht="15">
      <c r="A42" s="220"/>
      <c r="B42" s="153" t="s">
        <v>263</v>
      </c>
      <c r="C42" s="152">
        <v>0.03</v>
      </c>
      <c r="D42" s="70">
        <f t="shared" si="0"/>
        <v>0</v>
      </c>
      <c r="E42" s="5"/>
      <c r="F42" s="5"/>
      <c r="G42" s="18"/>
      <c r="H42" s="18"/>
    </row>
    <row r="43" spans="1:8" ht="15">
      <c r="A43" s="220"/>
      <c r="B43" s="153" t="s">
        <v>262</v>
      </c>
      <c r="C43" s="152">
        <v>0.03</v>
      </c>
      <c r="D43" s="70">
        <f t="shared" si="0"/>
        <v>0</v>
      </c>
      <c r="E43" s="5"/>
      <c r="F43" s="5"/>
      <c r="G43" s="18"/>
      <c r="H43" s="18"/>
    </row>
    <row r="44" spans="1:8" ht="15">
      <c r="A44" s="190" t="s">
        <v>16</v>
      </c>
      <c r="B44" s="188"/>
      <c r="C44" s="80">
        <f>SUM(C18:C43)</f>
        <v>1.0000000000000004</v>
      </c>
      <c r="D44" s="80"/>
      <c r="E44" s="49">
        <f>COUNT(E18:E43)</f>
        <v>0</v>
      </c>
      <c r="F44" s="49">
        <f>COUNT(F18:F43)</f>
        <v>0</v>
      </c>
      <c r="G44" s="49">
        <f>COUNT(G18:G43)</f>
        <v>0</v>
      </c>
      <c r="H44" s="50"/>
    </row>
    <row r="45" spans="1:8" s="18" customFormat="1" ht="15">
      <c r="A45" s="200"/>
      <c r="B45" s="201"/>
      <c r="C45" s="69"/>
      <c r="D45" s="69"/>
      <c r="E45" s="197">
        <f>IFERROR((E44/((E44+F44+G44)-G44)),0)</f>
        <v>0</v>
      </c>
      <c r="F45" s="198"/>
      <c r="G45" s="199"/>
      <c r="H45" s="28"/>
    </row>
    <row r="48" spans="1:8" ht="15.75">
      <c r="A48" s="23" t="s">
        <v>67</v>
      </c>
      <c r="B48" s="24" t="s">
        <v>17</v>
      </c>
      <c r="C48" s="51"/>
      <c r="D48" s="51"/>
      <c r="E48" s="51"/>
      <c r="F48" s="52"/>
      <c r="G48" s="52"/>
      <c r="H48" s="53"/>
    </row>
    <row r="49" spans="1:8" ht="15.75">
      <c r="A49" s="25" t="s">
        <v>68</v>
      </c>
      <c r="B49" s="169" t="s">
        <v>69</v>
      </c>
      <c r="C49" s="170"/>
      <c r="D49" s="170"/>
      <c r="E49" s="170"/>
      <c r="F49" s="170"/>
      <c r="G49" s="170"/>
      <c r="H49" s="170"/>
    </row>
    <row r="50" spans="1:8" ht="15.75">
      <c r="A50" s="26" t="s">
        <v>70</v>
      </c>
      <c r="B50" s="169" t="s">
        <v>18</v>
      </c>
      <c r="C50" s="169"/>
      <c r="D50" s="169"/>
      <c r="E50" s="169"/>
      <c r="F50" s="169"/>
      <c r="G50" s="169"/>
      <c r="H50" s="169"/>
    </row>
    <row r="51" spans="1:8" ht="15.75">
      <c r="A51" s="27" t="s">
        <v>19</v>
      </c>
      <c r="B51" s="169" t="s">
        <v>20</v>
      </c>
      <c r="C51" s="169"/>
      <c r="D51" s="169"/>
      <c r="E51" s="169"/>
      <c r="F51" s="169"/>
      <c r="G51" s="169"/>
      <c r="H51" s="169"/>
    </row>
  </sheetData>
  <mergeCells count="19">
    <mergeCell ref="A2:F3"/>
    <mergeCell ref="A13:B13"/>
    <mergeCell ref="E13:H13"/>
    <mergeCell ref="A14:B17"/>
    <mergeCell ref="E14:H14"/>
    <mergeCell ref="E16:G16"/>
    <mergeCell ref="H16:H17"/>
    <mergeCell ref="C13:C17"/>
    <mergeCell ref="D13:D17"/>
    <mergeCell ref="E45:G45"/>
    <mergeCell ref="B49:H49"/>
    <mergeCell ref="B50:H50"/>
    <mergeCell ref="B51:H51"/>
    <mergeCell ref="A18:A19"/>
    <mergeCell ref="A20:A25"/>
    <mergeCell ref="A26:A36"/>
    <mergeCell ref="A37:A38"/>
    <mergeCell ref="A39:A43"/>
    <mergeCell ref="A44:B45"/>
  </mergeCells>
  <conditionalFormatting sqref="E45:G45">
    <cfRule type="colorScale" priority="5">
      <colorScale>
        <cfvo type="num" val="0.5"/>
        <cfvo type="num" val="0.7"/>
        <cfvo type="num" val="1"/>
        <color rgb="FFFF0000"/>
        <color rgb="FFFFEB84"/>
        <color theme="9" tint="-0.249977111117893"/>
      </colorScale>
    </cfRule>
  </conditionalFormatting>
  <conditionalFormatting sqref="D18:D43">
    <cfRule type="cellIs" dxfId="26" priority="1" operator="equal">
      <formula>0</formula>
    </cfRule>
    <cfRule type="containsText" dxfId="25" priority="2" operator="containsText" text="PORFAVOR MARQUE UNA SOLA OPCION">
      <formula>NOT(ISERROR(SEARCH("PORFAVOR MARQUE UNA SOLA OPCION",D18)))</formula>
    </cfRule>
    <cfRule type="cellIs" dxfId="24" priority="3" operator="greater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9A20-0DDF-4252-8014-B88E167DE79A}">
  <dimension ref="A1:H48"/>
  <sheetViews>
    <sheetView topLeftCell="B31" workbookViewId="0">
      <selection activeCell="D41" sqref="D41"/>
    </sheetView>
  </sheetViews>
  <sheetFormatPr baseColWidth="10" defaultRowHeight="14.25"/>
  <cols>
    <col min="1" max="1" width="64.375" customWidth="1"/>
    <col min="2" max="2" width="65.625" customWidth="1"/>
    <col min="3" max="4" width="23.625" customWidth="1"/>
    <col min="5" max="5" width="42.375" customWidth="1"/>
    <col min="6" max="6" width="24.625" customWidth="1"/>
    <col min="7" max="7" width="20" customWidth="1"/>
    <col min="8" max="8" width="20.625" customWidth="1"/>
  </cols>
  <sheetData>
    <row r="1" spans="1:8" ht="14.25" customHeight="1"/>
    <row r="2" spans="1:8">
      <c r="A2" s="179" t="s">
        <v>261</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3"/>
      <c r="C11" s="3"/>
      <c r="D11" s="3"/>
      <c r="E11" s="20"/>
      <c r="F11" s="21"/>
      <c r="G11" s="22"/>
    </row>
    <row r="12" spans="1:8">
      <c r="A12" s="4"/>
      <c r="B12" s="5"/>
      <c r="C12" s="5"/>
      <c r="D12" s="5"/>
      <c r="E12" s="8"/>
      <c r="F12" s="9"/>
      <c r="G12" s="7"/>
      <c r="H12" s="18"/>
    </row>
    <row r="13" spans="1:8" ht="15.75">
      <c r="A13" s="195"/>
      <c r="B13" s="176"/>
      <c r="C13" s="221" t="s">
        <v>72</v>
      </c>
      <c r="D13" s="221" t="s">
        <v>73</v>
      </c>
      <c r="E13" s="208" t="s">
        <v>260</v>
      </c>
      <c r="F13" s="209"/>
      <c r="G13" s="209"/>
      <c r="H13" s="210"/>
    </row>
    <row r="14" spans="1:8" ht="15.75">
      <c r="A14" s="180" t="s">
        <v>8</v>
      </c>
      <c r="B14" s="211"/>
      <c r="C14" s="222"/>
      <c r="D14" s="222"/>
      <c r="E14" s="193"/>
      <c r="F14" s="214"/>
      <c r="G14" s="214"/>
      <c r="H14" s="215"/>
    </row>
    <row r="15" spans="1:8" ht="15">
      <c r="A15" s="181"/>
      <c r="B15" s="212"/>
      <c r="C15" s="222"/>
      <c r="D15" s="222"/>
      <c r="E15" s="16" t="s">
        <v>9</v>
      </c>
      <c r="F15" s="11" t="s">
        <v>10</v>
      </c>
      <c r="G15" s="12" t="s">
        <v>11</v>
      </c>
      <c r="H15" s="12" t="s">
        <v>12</v>
      </c>
    </row>
    <row r="16" spans="1:8">
      <c r="A16" s="181"/>
      <c r="B16" s="212"/>
      <c r="C16" s="222"/>
      <c r="D16" s="222"/>
      <c r="E16" s="177" t="s">
        <v>2</v>
      </c>
      <c r="F16" s="177"/>
      <c r="G16" s="178"/>
      <c r="H16" s="216" t="s">
        <v>0</v>
      </c>
    </row>
    <row r="17" spans="1:8" ht="15">
      <c r="A17" s="182"/>
      <c r="B17" s="213"/>
      <c r="C17" s="223"/>
      <c r="D17" s="223"/>
      <c r="E17" s="17" t="s">
        <v>13</v>
      </c>
      <c r="F17" s="10" t="s">
        <v>5</v>
      </c>
      <c r="G17" s="10" t="s">
        <v>6</v>
      </c>
      <c r="H17" s="217"/>
    </row>
    <row r="18" spans="1:8" ht="15">
      <c r="A18" s="225" t="s">
        <v>111</v>
      </c>
      <c r="B18" s="143" t="s">
        <v>259</v>
      </c>
      <c r="C18" s="144">
        <v>1.4999999999999999E-2</v>
      </c>
      <c r="D18" s="70">
        <f t="shared" ref="D18:D40" si="0">IF(COUNTA(E18:G18)&gt;1, "PORFAVOR MARQUE UNA SOLA OPCION", IF(OR(E18&lt;&gt;"", G18&lt;&gt;""), C18, IF(F18&lt;&gt;"", 0, 0)))</f>
        <v>0</v>
      </c>
      <c r="E18" s="3"/>
      <c r="F18" s="1"/>
      <c r="G18" s="18"/>
      <c r="H18" s="18"/>
    </row>
    <row r="19" spans="1:8" ht="24">
      <c r="A19" s="226"/>
      <c r="B19" s="145" t="s">
        <v>258</v>
      </c>
      <c r="C19" s="144">
        <v>1.4999999999999999E-2</v>
      </c>
      <c r="D19" s="70">
        <f t="shared" si="0"/>
        <v>0</v>
      </c>
      <c r="E19" s="1"/>
      <c r="F19" s="1"/>
      <c r="G19" s="18"/>
      <c r="H19" s="18"/>
    </row>
    <row r="20" spans="1:8" ht="36">
      <c r="A20" s="226"/>
      <c r="B20" s="145" t="s">
        <v>257</v>
      </c>
      <c r="C20" s="144">
        <v>1.4999999999999999E-2</v>
      </c>
      <c r="D20" s="70">
        <f t="shared" si="0"/>
        <v>0</v>
      </c>
      <c r="E20" s="1"/>
      <c r="F20" s="1"/>
      <c r="G20" s="18"/>
      <c r="H20" s="18"/>
    </row>
    <row r="21" spans="1:8" ht="24">
      <c r="A21" s="227"/>
      <c r="B21" s="145" t="s">
        <v>256</v>
      </c>
      <c r="C21" s="144">
        <v>1.4999999999999999E-2</v>
      </c>
      <c r="D21" s="70">
        <f t="shared" si="0"/>
        <v>0</v>
      </c>
      <c r="E21" s="1"/>
      <c r="F21" s="1"/>
      <c r="G21" s="18"/>
      <c r="H21" s="18"/>
    </row>
    <row r="22" spans="1:8" ht="36">
      <c r="A22" s="225" t="s">
        <v>255</v>
      </c>
      <c r="B22" s="145" t="s">
        <v>254</v>
      </c>
      <c r="C22" s="135">
        <v>0.02</v>
      </c>
      <c r="D22" s="70">
        <f t="shared" si="0"/>
        <v>0</v>
      </c>
      <c r="E22" s="1"/>
      <c r="F22" s="1"/>
      <c r="G22" s="18"/>
      <c r="H22" s="18"/>
    </row>
    <row r="23" spans="1:8" ht="65.25" customHeight="1">
      <c r="A23" s="227"/>
      <c r="B23" s="151" t="s">
        <v>253</v>
      </c>
      <c r="C23" s="135">
        <v>0.02</v>
      </c>
      <c r="D23" s="70">
        <f t="shared" si="0"/>
        <v>0</v>
      </c>
      <c r="E23" s="1"/>
      <c r="F23" s="1"/>
      <c r="G23" s="18"/>
      <c r="H23" s="18"/>
    </row>
    <row r="24" spans="1:8" ht="36">
      <c r="A24" s="218" t="s">
        <v>195</v>
      </c>
      <c r="B24" s="136" t="s">
        <v>252</v>
      </c>
      <c r="C24" s="135">
        <v>0.15</v>
      </c>
      <c r="D24" s="70">
        <f t="shared" si="0"/>
        <v>0</v>
      </c>
      <c r="E24" s="1"/>
      <c r="F24" s="1"/>
      <c r="G24" s="18"/>
      <c r="H24" s="18"/>
    </row>
    <row r="25" spans="1:8" ht="60.75" customHeight="1">
      <c r="A25" s="219"/>
      <c r="B25" s="136" t="s">
        <v>251</v>
      </c>
      <c r="C25" s="135">
        <v>0.15</v>
      </c>
      <c r="D25" s="70">
        <f t="shared" si="0"/>
        <v>0</v>
      </c>
      <c r="E25" s="1"/>
      <c r="F25" s="1"/>
      <c r="G25" s="18"/>
      <c r="H25" s="18"/>
    </row>
    <row r="26" spans="1:8" ht="24">
      <c r="A26" s="224"/>
      <c r="B26" s="136" t="s">
        <v>250</v>
      </c>
      <c r="C26" s="135">
        <v>0.15</v>
      </c>
      <c r="D26" s="70">
        <f t="shared" si="0"/>
        <v>0</v>
      </c>
      <c r="E26" s="1"/>
      <c r="F26" s="1"/>
      <c r="G26" s="18"/>
      <c r="H26" s="18"/>
    </row>
    <row r="27" spans="1:8" ht="43.5" customHeight="1">
      <c r="A27" s="218" t="s">
        <v>249</v>
      </c>
      <c r="B27" s="136" t="s">
        <v>248</v>
      </c>
      <c r="C27" s="140">
        <v>0.03</v>
      </c>
      <c r="D27" s="70">
        <f t="shared" si="0"/>
        <v>0</v>
      </c>
      <c r="E27" s="2"/>
      <c r="F27" s="2"/>
      <c r="G27" s="18"/>
      <c r="H27" s="18"/>
    </row>
    <row r="28" spans="1:8" ht="36">
      <c r="A28" s="219"/>
      <c r="B28" s="136" t="s">
        <v>247</v>
      </c>
      <c r="C28" s="140">
        <v>0.03</v>
      </c>
      <c r="D28" s="70">
        <f t="shared" si="0"/>
        <v>0</v>
      </c>
      <c r="E28" s="2"/>
      <c r="F28" s="2"/>
      <c r="G28" s="18"/>
      <c r="H28" s="18"/>
    </row>
    <row r="29" spans="1:8" ht="72">
      <c r="A29" s="219"/>
      <c r="B29" s="141" t="s">
        <v>246</v>
      </c>
      <c r="C29" s="140">
        <v>0.03</v>
      </c>
      <c r="D29" s="70">
        <f t="shared" si="0"/>
        <v>0</v>
      </c>
      <c r="E29" s="2"/>
      <c r="F29" s="2"/>
      <c r="G29" s="18"/>
      <c r="H29" s="18"/>
    </row>
    <row r="30" spans="1:8" ht="24">
      <c r="A30" s="224"/>
      <c r="B30" s="141" t="s">
        <v>245</v>
      </c>
      <c r="C30" s="140">
        <v>0.03</v>
      </c>
      <c r="D30" s="70">
        <f t="shared" si="0"/>
        <v>0</v>
      </c>
      <c r="E30" s="2"/>
      <c r="F30" s="2"/>
      <c r="G30" s="18"/>
      <c r="H30" s="18"/>
    </row>
    <row r="31" spans="1:8" ht="72.75" customHeight="1">
      <c r="A31" s="218" t="s">
        <v>187</v>
      </c>
      <c r="B31" s="136" t="s">
        <v>244</v>
      </c>
      <c r="C31" s="140">
        <v>0.05</v>
      </c>
      <c r="D31" s="70">
        <f t="shared" si="0"/>
        <v>0</v>
      </c>
      <c r="E31" s="2"/>
      <c r="F31" s="2"/>
      <c r="G31" s="18"/>
      <c r="H31" s="18"/>
    </row>
    <row r="32" spans="1:8" ht="30.75" customHeight="1">
      <c r="A32" s="219"/>
      <c r="B32" s="136" t="s">
        <v>243</v>
      </c>
      <c r="C32" s="140">
        <v>0.05</v>
      </c>
      <c r="D32" s="70">
        <f t="shared" si="0"/>
        <v>0</v>
      </c>
      <c r="E32" s="2"/>
      <c r="F32" s="2"/>
      <c r="G32" s="18"/>
      <c r="H32" s="18"/>
    </row>
    <row r="33" spans="1:8" ht="36">
      <c r="A33" s="224"/>
      <c r="B33" s="136" t="s">
        <v>242</v>
      </c>
      <c r="C33" s="140">
        <v>0.05</v>
      </c>
      <c r="D33" s="70">
        <f t="shared" si="0"/>
        <v>0</v>
      </c>
      <c r="E33" s="2"/>
      <c r="F33" s="2"/>
      <c r="G33" s="18"/>
      <c r="H33" s="18"/>
    </row>
    <row r="34" spans="1:8" ht="34.5" customHeight="1">
      <c r="A34" s="218" t="s">
        <v>184</v>
      </c>
      <c r="B34" s="136" t="s">
        <v>241</v>
      </c>
      <c r="C34" s="140">
        <v>0.03</v>
      </c>
      <c r="D34" s="70">
        <f t="shared" si="0"/>
        <v>0</v>
      </c>
      <c r="E34" s="2"/>
      <c r="F34" s="2"/>
      <c r="G34" s="18"/>
      <c r="H34" s="18"/>
    </row>
    <row r="35" spans="1:8" ht="15">
      <c r="A35" s="219"/>
      <c r="B35" s="136" t="s">
        <v>240</v>
      </c>
      <c r="C35" s="140">
        <v>0.03</v>
      </c>
      <c r="D35" s="70">
        <f t="shared" si="0"/>
        <v>0</v>
      </c>
      <c r="E35" s="2"/>
      <c r="F35" s="2"/>
      <c r="G35" s="18"/>
      <c r="H35" s="18"/>
    </row>
    <row r="36" spans="1:8" ht="48">
      <c r="A36" s="224"/>
      <c r="B36" s="136" t="s">
        <v>239</v>
      </c>
      <c r="C36" s="140">
        <v>0.03</v>
      </c>
      <c r="D36" s="70">
        <f t="shared" si="0"/>
        <v>0</v>
      </c>
      <c r="E36" s="2"/>
      <c r="F36" s="2"/>
      <c r="G36" s="18"/>
      <c r="H36" s="18"/>
    </row>
    <row r="37" spans="1:8" ht="24">
      <c r="A37" s="218" t="s">
        <v>238</v>
      </c>
      <c r="B37" s="136" t="s">
        <v>237</v>
      </c>
      <c r="C37" s="140">
        <v>0.01</v>
      </c>
      <c r="D37" s="70">
        <f t="shared" si="0"/>
        <v>0</v>
      </c>
      <c r="E37" s="2"/>
      <c r="F37" s="2"/>
      <c r="G37" s="18"/>
      <c r="H37" s="18"/>
    </row>
    <row r="38" spans="1:8" ht="24">
      <c r="A38" s="219"/>
      <c r="B38" s="136" t="s">
        <v>236</v>
      </c>
      <c r="C38" s="140">
        <v>0.01</v>
      </c>
      <c r="D38" s="70">
        <f t="shared" si="0"/>
        <v>0</v>
      </c>
      <c r="E38" s="2"/>
      <c r="F38" s="2"/>
      <c r="G38" s="2"/>
      <c r="H38" s="81"/>
    </row>
    <row r="39" spans="1:8" ht="36">
      <c r="A39" s="224"/>
      <c r="B39" s="136" t="s">
        <v>235</v>
      </c>
      <c r="C39" s="140">
        <v>0.01</v>
      </c>
      <c r="D39" s="70">
        <f t="shared" si="0"/>
        <v>0</v>
      </c>
      <c r="E39" s="2"/>
      <c r="F39" s="2"/>
      <c r="G39" s="18"/>
      <c r="H39" s="18"/>
    </row>
    <row r="40" spans="1:8" ht="24">
      <c r="A40" s="78" t="s">
        <v>132</v>
      </c>
      <c r="B40" s="136" t="s">
        <v>234</v>
      </c>
      <c r="C40" s="140">
        <v>0.06</v>
      </c>
      <c r="D40" s="70">
        <f t="shared" si="0"/>
        <v>0</v>
      </c>
      <c r="E40" s="2"/>
      <c r="F40" s="2"/>
      <c r="G40" s="18"/>
      <c r="H40" s="18"/>
    </row>
    <row r="41" spans="1:8" ht="15">
      <c r="A41" s="190" t="s">
        <v>16</v>
      </c>
      <c r="B41" s="188"/>
      <c r="C41" s="80">
        <f>SUM(C18:C40)</f>
        <v>1.0000000000000004</v>
      </c>
      <c r="D41" s="80"/>
      <c r="E41" s="49">
        <f>COUNT(E18:E40)</f>
        <v>0</v>
      </c>
      <c r="F41" s="49">
        <f>COUNT(F18:F40)</f>
        <v>0</v>
      </c>
      <c r="G41" s="49">
        <f>COUNT(G18:G40)</f>
        <v>0</v>
      </c>
      <c r="H41" s="50"/>
    </row>
    <row r="42" spans="1:8" s="18" customFormat="1" ht="15">
      <c r="A42" s="200"/>
      <c r="B42" s="201"/>
      <c r="C42" s="69"/>
      <c r="D42" s="69"/>
      <c r="E42" s="197">
        <f>IFERROR((E41/((E41+F41+G41)-G41)),0)</f>
        <v>0</v>
      </c>
      <c r="F42" s="198"/>
      <c r="G42" s="199"/>
      <c r="H42" s="28"/>
    </row>
    <row r="45" spans="1:8" ht="15.75">
      <c r="A45" s="23" t="s">
        <v>67</v>
      </c>
      <c r="B45" s="24" t="s">
        <v>17</v>
      </c>
      <c r="C45" s="51"/>
      <c r="D45" s="51"/>
      <c r="E45" s="51"/>
      <c r="F45" s="52"/>
      <c r="G45" s="52"/>
      <c r="H45" s="53"/>
    </row>
    <row r="46" spans="1:8" ht="15.75">
      <c r="A46" s="25" t="s">
        <v>68</v>
      </c>
      <c r="B46" s="169" t="s">
        <v>69</v>
      </c>
      <c r="C46" s="170"/>
      <c r="D46" s="170"/>
      <c r="E46" s="170"/>
      <c r="F46" s="170"/>
      <c r="G46" s="170"/>
      <c r="H46" s="170"/>
    </row>
    <row r="47" spans="1:8" ht="15.75">
      <c r="A47" s="26" t="s">
        <v>70</v>
      </c>
      <c r="B47" s="169" t="s">
        <v>18</v>
      </c>
      <c r="C47" s="169"/>
      <c r="D47" s="169"/>
      <c r="E47" s="169"/>
      <c r="F47" s="169"/>
      <c r="G47" s="169"/>
      <c r="H47" s="169"/>
    </row>
    <row r="48" spans="1:8" ht="15.75">
      <c r="A48" s="27" t="s">
        <v>19</v>
      </c>
      <c r="B48" s="169" t="s">
        <v>20</v>
      </c>
      <c r="C48" s="169"/>
      <c r="D48" s="169"/>
      <c r="E48" s="169"/>
      <c r="F48" s="169"/>
      <c r="G48" s="169"/>
      <c r="H48" s="169"/>
    </row>
  </sheetData>
  <mergeCells count="21">
    <mergeCell ref="A2:F3"/>
    <mergeCell ref="A13:B13"/>
    <mergeCell ref="E13:H13"/>
    <mergeCell ref="A14:B17"/>
    <mergeCell ref="E14:H14"/>
    <mergeCell ref="E16:G16"/>
    <mergeCell ref="H16:H17"/>
    <mergeCell ref="C13:C17"/>
    <mergeCell ref="D13:D17"/>
    <mergeCell ref="A27:A30"/>
    <mergeCell ref="A31:A33"/>
    <mergeCell ref="A34:A36"/>
    <mergeCell ref="A18:A21"/>
    <mergeCell ref="A22:A23"/>
    <mergeCell ref="A24:A26"/>
    <mergeCell ref="B48:H48"/>
    <mergeCell ref="A37:A39"/>
    <mergeCell ref="A41:B42"/>
    <mergeCell ref="E42:G42"/>
    <mergeCell ref="B46:H46"/>
    <mergeCell ref="B47:H47"/>
  </mergeCells>
  <conditionalFormatting sqref="E42:G42">
    <cfRule type="colorScale" priority="5">
      <colorScale>
        <cfvo type="num" val="0.5"/>
        <cfvo type="num" val="0.7"/>
        <cfvo type="num" val="1"/>
        <color rgb="FFFF0000"/>
        <color rgb="FFFFEB84"/>
        <color theme="9" tint="-0.249977111117893"/>
      </colorScale>
    </cfRule>
  </conditionalFormatting>
  <conditionalFormatting sqref="D18:D40">
    <cfRule type="cellIs" dxfId="23" priority="1" operator="equal">
      <formula>0</formula>
    </cfRule>
    <cfRule type="containsText" dxfId="22" priority="2" operator="containsText" text="PORFAVOR MARQUE UNA SOLA OPCION">
      <formula>NOT(ISERROR(SEARCH("PORFAVOR MARQUE UNA SOLA OPCION",D18)))</formula>
    </cfRule>
    <cfRule type="cellIs" dxfId="21" priority="3" operator="greaterThan">
      <formula>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6B85-1F2A-4D75-BA3E-32CBF8CA3F5A}">
  <dimension ref="A1:H43"/>
  <sheetViews>
    <sheetView topLeftCell="B27" workbookViewId="0">
      <selection activeCell="G36" sqref="G36"/>
    </sheetView>
  </sheetViews>
  <sheetFormatPr baseColWidth="10" defaultRowHeight="14.25"/>
  <cols>
    <col min="1" max="1" width="85.625" customWidth="1"/>
    <col min="2" max="2" width="48.625" customWidth="1"/>
    <col min="3" max="4" width="24.125" customWidth="1"/>
    <col min="5" max="5" width="33.125" customWidth="1"/>
    <col min="6" max="6" width="32.625" customWidth="1"/>
    <col min="7" max="7" width="34.875" customWidth="1"/>
    <col min="8" max="8" width="24.375" customWidth="1"/>
  </cols>
  <sheetData>
    <row r="1" spans="1:8">
      <c r="A1" s="179" t="s">
        <v>233</v>
      </c>
      <c r="B1" s="179"/>
      <c r="C1" s="179"/>
      <c r="D1" s="179"/>
      <c r="E1" s="179"/>
      <c r="F1" s="179"/>
    </row>
    <row r="2" spans="1:8">
      <c r="A2" s="179"/>
      <c r="B2" s="179"/>
      <c r="C2" s="179"/>
      <c r="D2" s="179"/>
      <c r="E2" s="179"/>
      <c r="F2" s="179"/>
    </row>
    <row r="3" spans="1:8">
      <c r="B3" s="3"/>
      <c r="C3" s="3"/>
      <c r="D3" s="3"/>
    </row>
    <row r="4" spans="1:8">
      <c r="B4" s="3"/>
      <c r="C4" s="3"/>
      <c r="D4" s="3"/>
    </row>
    <row r="5" spans="1:8">
      <c r="A5" s="4" t="s">
        <v>1</v>
      </c>
      <c r="B5" s="5"/>
      <c r="C5" s="67"/>
      <c r="D5" s="67"/>
      <c r="E5" s="13" t="s">
        <v>2</v>
      </c>
      <c r="F5" s="14"/>
      <c r="G5" s="15"/>
    </row>
    <row r="6" spans="1:8">
      <c r="A6" s="4" t="s">
        <v>3</v>
      </c>
      <c r="B6" s="6"/>
      <c r="C6" s="6"/>
      <c r="D6" s="6"/>
      <c r="E6" s="7" t="s">
        <v>4</v>
      </c>
      <c r="F6" s="7" t="s">
        <v>5</v>
      </c>
      <c r="G6" s="7" t="s">
        <v>6</v>
      </c>
    </row>
    <row r="7" spans="1:8">
      <c r="A7" s="4" t="s">
        <v>7</v>
      </c>
      <c r="B7" s="5"/>
      <c r="C7" s="5"/>
      <c r="D7" s="5"/>
      <c r="E7" s="8">
        <v>1</v>
      </c>
      <c r="F7" s="9">
        <v>0</v>
      </c>
      <c r="G7" s="7">
        <v>1</v>
      </c>
    </row>
    <row r="10" spans="1:8" ht="15.75">
      <c r="A10" s="189"/>
      <c r="B10" s="189"/>
      <c r="C10" s="221" t="s">
        <v>72</v>
      </c>
      <c r="D10" s="221" t="s">
        <v>73</v>
      </c>
      <c r="E10" s="214" t="s">
        <v>232</v>
      </c>
      <c r="F10" s="214"/>
      <c r="G10" s="214"/>
      <c r="H10" s="214"/>
    </row>
    <row r="11" spans="1:8" ht="15.75">
      <c r="A11" s="180" t="s">
        <v>8</v>
      </c>
      <c r="B11" s="211"/>
      <c r="C11" s="222"/>
      <c r="D11" s="222"/>
      <c r="E11" s="193"/>
      <c r="F11" s="214"/>
      <c r="G11" s="214"/>
      <c r="H11" s="215"/>
    </row>
    <row r="12" spans="1:8" ht="15">
      <c r="A12" s="181"/>
      <c r="B12" s="212"/>
      <c r="C12" s="222"/>
      <c r="D12" s="222"/>
      <c r="E12" s="16" t="s">
        <v>9</v>
      </c>
      <c r="F12" s="11" t="s">
        <v>10</v>
      </c>
      <c r="G12" s="12" t="s">
        <v>11</v>
      </c>
      <c r="H12" s="12" t="s">
        <v>12</v>
      </c>
    </row>
    <row r="13" spans="1:8">
      <c r="A13" s="181"/>
      <c r="B13" s="212"/>
      <c r="C13" s="222"/>
      <c r="D13" s="222"/>
      <c r="E13" s="177" t="s">
        <v>2</v>
      </c>
      <c r="F13" s="177"/>
      <c r="G13" s="178"/>
      <c r="H13" s="216" t="s">
        <v>0</v>
      </c>
    </row>
    <row r="14" spans="1:8" ht="15">
      <c r="A14" s="182"/>
      <c r="B14" s="213"/>
      <c r="C14" s="223"/>
      <c r="D14" s="223"/>
      <c r="E14" s="17" t="s">
        <v>13</v>
      </c>
      <c r="F14" s="10" t="s">
        <v>5</v>
      </c>
      <c r="G14" s="10" t="s">
        <v>6</v>
      </c>
      <c r="H14" s="217"/>
    </row>
    <row r="15" spans="1:8" ht="60" customHeight="1">
      <c r="A15" s="228" t="s">
        <v>111</v>
      </c>
      <c r="B15" s="143" t="s">
        <v>231</v>
      </c>
      <c r="C15" s="135">
        <v>0.02</v>
      </c>
      <c r="D15" s="70">
        <f t="shared" ref="D15:D35" si="0">IF(COUNTA(E15:G15)&gt;1, "PORFAVOR MARQUE UNA SOLA OPCION", IF(OR(E15&lt;&gt;"", G15&lt;&gt;""), C15, IF(F15&lt;&gt;"", 0, 0)))</f>
        <v>0</v>
      </c>
      <c r="E15" s="1"/>
      <c r="F15" s="139"/>
      <c r="G15" s="139"/>
      <c r="H15" s="139"/>
    </row>
    <row r="16" spans="1:8" ht="24">
      <c r="A16" s="229"/>
      <c r="B16" s="143" t="s">
        <v>230</v>
      </c>
      <c r="C16" s="135">
        <v>0.02</v>
      </c>
      <c r="D16" s="70">
        <f t="shared" si="0"/>
        <v>0</v>
      </c>
      <c r="E16" s="1"/>
      <c r="F16" s="139"/>
      <c r="G16" s="139"/>
      <c r="H16" s="139"/>
    </row>
    <row r="17" spans="1:8" ht="36" customHeight="1">
      <c r="A17" s="229"/>
      <c r="B17" s="145" t="s">
        <v>229</v>
      </c>
      <c r="C17" s="135">
        <v>0.02</v>
      </c>
      <c r="D17" s="70">
        <f t="shared" si="0"/>
        <v>0</v>
      </c>
      <c r="E17" s="1"/>
      <c r="F17" s="139"/>
      <c r="G17" s="139"/>
      <c r="H17" s="139"/>
    </row>
    <row r="18" spans="1:8" ht="24">
      <c r="A18" s="220" t="s">
        <v>228</v>
      </c>
      <c r="B18" s="143" t="s">
        <v>227</v>
      </c>
      <c r="C18" s="144">
        <v>2.5000000000000001E-2</v>
      </c>
      <c r="D18" s="70">
        <f t="shared" si="0"/>
        <v>0</v>
      </c>
      <c r="E18" s="1"/>
      <c r="F18" s="139"/>
      <c r="G18" s="139"/>
      <c r="H18" s="139"/>
    </row>
    <row r="19" spans="1:8" ht="24">
      <c r="A19" s="220"/>
      <c r="B19" s="145" t="s">
        <v>226</v>
      </c>
      <c r="C19" s="144">
        <v>2.5000000000000001E-2</v>
      </c>
      <c r="D19" s="70">
        <f t="shared" si="0"/>
        <v>0</v>
      </c>
      <c r="E19" s="1"/>
      <c r="F19" s="139"/>
      <c r="G19" s="139"/>
      <c r="H19" s="139"/>
    </row>
    <row r="20" spans="1:8" ht="36">
      <c r="A20" s="220"/>
      <c r="B20" s="143" t="s">
        <v>225</v>
      </c>
      <c r="C20" s="144">
        <v>2.5000000000000001E-2</v>
      </c>
      <c r="D20" s="70">
        <f t="shared" si="0"/>
        <v>0</v>
      </c>
      <c r="E20" s="1"/>
      <c r="F20" s="143"/>
      <c r="G20" s="139"/>
      <c r="H20" s="139"/>
    </row>
    <row r="21" spans="1:8" ht="36">
      <c r="A21" s="220"/>
      <c r="B21" s="143" t="s">
        <v>224</v>
      </c>
      <c r="C21" s="144">
        <v>2.5000000000000001E-2</v>
      </c>
      <c r="D21" s="70">
        <f t="shared" si="0"/>
        <v>0</v>
      </c>
      <c r="E21" s="1"/>
      <c r="F21" s="143"/>
      <c r="G21" s="139"/>
      <c r="H21" s="139"/>
    </row>
    <row r="22" spans="1:8" ht="36">
      <c r="A22" s="220"/>
      <c r="B22" s="143" t="s">
        <v>223</v>
      </c>
      <c r="C22" s="144">
        <v>2.5000000000000001E-2</v>
      </c>
      <c r="D22" s="70">
        <f t="shared" si="0"/>
        <v>0</v>
      </c>
      <c r="E22" s="1"/>
      <c r="F22" s="139"/>
      <c r="G22" s="139"/>
      <c r="H22" s="139"/>
    </row>
    <row r="23" spans="1:8" ht="24">
      <c r="A23" s="220" t="s">
        <v>222</v>
      </c>
      <c r="B23" s="143" t="s">
        <v>221</v>
      </c>
      <c r="C23" s="135">
        <v>0.1</v>
      </c>
      <c r="D23" s="70">
        <f t="shared" si="0"/>
        <v>0</v>
      </c>
      <c r="E23" s="1"/>
      <c r="F23" s="139"/>
      <c r="G23" s="139"/>
      <c r="H23" s="139"/>
    </row>
    <row r="24" spans="1:8" ht="48">
      <c r="A24" s="220"/>
      <c r="B24" s="136" t="s">
        <v>220</v>
      </c>
      <c r="C24" s="135">
        <v>0.1</v>
      </c>
      <c r="D24" s="70">
        <f t="shared" si="0"/>
        <v>0</v>
      </c>
      <c r="E24" s="1"/>
      <c r="F24" s="139"/>
      <c r="G24" s="139"/>
      <c r="H24" s="139"/>
    </row>
    <row r="25" spans="1:8" ht="48">
      <c r="A25" s="220"/>
      <c r="B25" s="143" t="s">
        <v>219</v>
      </c>
      <c r="C25" s="135">
        <v>0.1</v>
      </c>
      <c r="D25" s="70">
        <f t="shared" si="0"/>
        <v>0</v>
      </c>
      <c r="E25" s="1"/>
      <c r="F25" s="139"/>
      <c r="G25" s="139"/>
      <c r="H25" s="139"/>
    </row>
    <row r="26" spans="1:8" ht="36">
      <c r="A26" s="220"/>
      <c r="B26" s="136" t="s">
        <v>218</v>
      </c>
      <c r="C26" s="135">
        <v>0.1</v>
      </c>
      <c r="D26" s="70">
        <f t="shared" si="0"/>
        <v>0</v>
      </c>
      <c r="E26" s="1"/>
      <c r="F26" s="139"/>
      <c r="G26" s="139"/>
      <c r="H26" s="139"/>
    </row>
    <row r="27" spans="1:8" ht="60">
      <c r="A27" s="220" t="s">
        <v>189</v>
      </c>
      <c r="B27" s="136" t="s">
        <v>217</v>
      </c>
      <c r="C27" s="135">
        <v>0.05</v>
      </c>
      <c r="D27" s="70">
        <f t="shared" si="0"/>
        <v>0</v>
      </c>
      <c r="E27" s="1"/>
      <c r="F27" s="142"/>
      <c r="G27" s="142"/>
      <c r="H27" s="142"/>
    </row>
    <row r="28" spans="1:8" ht="48">
      <c r="A28" s="220"/>
      <c r="B28" s="136" t="s">
        <v>216</v>
      </c>
      <c r="C28" s="135">
        <v>0.05</v>
      </c>
      <c r="D28" s="70">
        <f t="shared" si="0"/>
        <v>0</v>
      </c>
      <c r="E28" s="1"/>
      <c r="F28" s="2"/>
      <c r="G28" s="142"/>
      <c r="H28" s="142"/>
    </row>
    <row r="29" spans="1:8" ht="24">
      <c r="A29" s="228" t="s">
        <v>184</v>
      </c>
      <c r="B29" s="136" t="s">
        <v>215</v>
      </c>
      <c r="C29" s="144">
        <v>5.5E-2</v>
      </c>
      <c r="D29" s="70">
        <f t="shared" si="0"/>
        <v>0</v>
      </c>
      <c r="E29" s="1"/>
      <c r="F29" s="142"/>
      <c r="G29" s="142"/>
      <c r="H29" s="142"/>
    </row>
    <row r="30" spans="1:8" ht="48">
      <c r="A30" s="229"/>
      <c r="B30" s="136" t="s">
        <v>214</v>
      </c>
      <c r="C30" s="144">
        <v>5.5E-2</v>
      </c>
      <c r="D30" s="70">
        <f t="shared" si="0"/>
        <v>0</v>
      </c>
      <c r="E30" s="1"/>
      <c r="F30" s="142"/>
      <c r="G30" s="142"/>
      <c r="H30" s="142"/>
    </row>
    <row r="31" spans="1:8" ht="15">
      <c r="A31" s="229"/>
      <c r="B31" s="136" t="s">
        <v>213</v>
      </c>
      <c r="C31" s="144">
        <v>5.5E-2</v>
      </c>
      <c r="D31" s="70">
        <f t="shared" si="0"/>
        <v>0</v>
      </c>
      <c r="E31" s="1"/>
      <c r="F31" s="142"/>
      <c r="G31" s="142"/>
      <c r="H31" s="142"/>
    </row>
    <row r="32" spans="1:8" ht="24">
      <c r="A32" s="230"/>
      <c r="B32" s="136" t="s">
        <v>212</v>
      </c>
      <c r="C32" s="144">
        <v>5.5E-2</v>
      </c>
      <c r="D32" s="70">
        <f t="shared" si="0"/>
        <v>0</v>
      </c>
      <c r="E32" s="1"/>
      <c r="F32" s="142"/>
      <c r="G32" s="142"/>
      <c r="H32" s="142"/>
    </row>
    <row r="33" spans="1:8" ht="54.75" customHeight="1">
      <c r="A33" s="205" t="s">
        <v>211</v>
      </c>
      <c r="B33" s="136" t="s">
        <v>210</v>
      </c>
      <c r="C33" s="144">
        <v>2.4E-2</v>
      </c>
      <c r="D33" s="70">
        <f t="shared" si="0"/>
        <v>0</v>
      </c>
      <c r="E33" s="1"/>
      <c r="F33" s="142"/>
      <c r="G33" s="142"/>
      <c r="H33" s="142"/>
    </row>
    <row r="34" spans="1:8" ht="61.5" customHeight="1">
      <c r="A34" s="207"/>
      <c r="B34" s="136" t="s">
        <v>209</v>
      </c>
      <c r="C34" s="144">
        <v>2.5000000000000001E-2</v>
      </c>
      <c r="D34" s="70">
        <f t="shared" si="0"/>
        <v>0</v>
      </c>
      <c r="E34" s="1"/>
      <c r="F34" s="142"/>
      <c r="G34" s="142"/>
      <c r="H34" s="142"/>
    </row>
    <row r="35" spans="1:8" ht="24">
      <c r="A35" s="148" t="s">
        <v>132</v>
      </c>
      <c r="B35" s="136" t="s">
        <v>208</v>
      </c>
      <c r="C35" s="135">
        <v>0.05</v>
      </c>
      <c r="D35" s="70">
        <f t="shared" si="0"/>
        <v>0</v>
      </c>
      <c r="E35" s="1"/>
      <c r="F35" s="2"/>
      <c r="G35" s="142"/>
      <c r="H35" s="142"/>
    </row>
    <row r="36" spans="1:8" ht="15">
      <c r="A36" s="190" t="s">
        <v>16</v>
      </c>
      <c r="B36" s="188"/>
      <c r="C36" s="150">
        <v>1</v>
      </c>
      <c r="D36" s="150"/>
      <c r="E36" s="49">
        <f>COUNT(E15:E35)</f>
        <v>0</v>
      </c>
      <c r="F36" s="49">
        <f>COUNT(F15:F35)</f>
        <v>0</v>
      </c>
      <c r="G36" s="49">
        <f>COUNT(G15:G35)</f>
        <v>0</v>
      </c>
      <c r="H36" s="50"/>
    </row>
    <row r="37" spans="1:8" s="18" customFormat="1" ht="15">
      <c r="A37" s="200"/>
      <c r="B37" s="201"/>
      <c r="C37" s="149"/>
      <c r="D37" s="149"/>
      <c r="E37" s="197">
        <f>IFERROR((E36/((E36+F36+G36)-G36)),0)</f>
        <v>0</v>
      </c>
      <c r="F37" s="198"/>
      <c r="G37" s="199"/>
      <c r="H37" s="28"/>
    </row>
    <row r="40" spans="1:8" ht="15.75">
      <c r="A40" s="23" t="s">
        <v>67</v>
      </c>
      <c r="B40" s="24" t="s">
        <v>17</v>
      </c>
      <c r="C40" s="51"/>
      <c r="D40" s="51"/>
      <c r="E40" s="51"/>
      <c r="F40" s="52"/>
      <c r="G40" s="52"/>
      <c r="H40" s="53"/>
    </row>
    <row r="41" spans="1:8" ht="15.75">
      <c r="A41" s="25" t="s">
        <v>68</v>
      </c>
      <c r="B41" s="169" t="s">
        <v>69</v>
      </c>
      <c r="C41" s="170"/>
      <c r="D41" s="170"/>
      <c r="E41" s="170"/>
      <c r="F41" s="170"/>
      <c r="G41" s="170"/>
      <c r="H41" s="170"/>
    </row>
    <row r="42" spans="1:8" ht="15.75">
      <c r="A42" s="26" t="s">
        <v>70</v>
      </c>
      <c r="B42" s="169" t="s">
        <v>18</v>
      </c>
      <c r="C42" s="169"/>
      <c r="D42" s="169"/>
      <c r="E42" s="169"/>
      <c r="F42" s="169"/>
      <c r="G42" s="169"/>
      <c r="H42" s="169"/>
    </row>
    <row r="43" spans="1:8" ht="15.75">
      <c r="A43" s="27" t="s">
        <v>19</v>
      </c>
      <c r="B43" s="169" t="s">
        <v>20</v>
      </c>
      <c r="C43" s="169"/>
      <c r="D43" s="169"/>
      <c r="E43" s="169"/>
      <c r="F43" s="169"/>
      <c r="G43" s="169"/>
      <c r="H43" s="169"/>
    </row>
  </sheetData>
  <mergeCells count="20">
    <mergeCell ref="A1:F2"/>
    <mergeCell ref="A10:B10"/>
    <mergeCell ref="E10:H10"/>
    <mergeCell ref="A11:B14"/>
    <mergeCell ref="E11:H11"/>
    <mergeCell ref="E13:G13"/>
    <mergeCell ref="H13:H14"/>
    <mergeCell ref="C10:C14"/>
    <mergeCell ref="D10:D14"/>
    <mergeCell ref="A27:A28"/>
    <mergeCell ref="A29:A32"/>
    <mergeCell ref="A33:A34"/>
    <mergeCell ref="A15:A17"/>
    <mergeCell ref="A18:A22"/>
    <mergeCell ref="A23:A26"/>
    <mergeCell ref="A36:B37"/>
    <mergeCell ref="E37:G37"/>
    <mergeCell ref="B41:H41"/>
    <mergeCell ref="B42:H42"/>
    <mergeCell ref="B43:H43"/>
  </mergeCells>
  <conditionalFormatting sqref="E37:G37">
    <cfRule type="colorScale" priority="5">
      <colorScale>
        <cfvo type="num" val="0.5"/>
        <cfvo type="num" val="0.7"/>
        <cfvo type="num" val="1"/>
        <color rgb="FFFF0000"/>
        <color rgb="FFFFEB84"/>
        <color theme="9" tint="-0.249977111117893"/>
      </colorScale>
    </cfRule>
  </conditionalFormatting>
  <conditionalFormatting sqref="D15:D35">
    <cfRule type="cellIs" dxfId="20" priority="1" operator="equal">
      <formula>0</formula>
    </cfRule>
    <cfRule type="containsText" dxfId="19" priority="2" operator="containsText" text="PORFAVOR MARQUE UNA SOLA OPCION">
      <formula>NOT(ISERROR(SEARCH("PORFAVOR MARQUE UNA SOLA OPCION",D15)))</formula>
    </cfRule>
    <cfRule type="cellIs" dxfId="18" priority="3" operator="greater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0F1E-4AC9-49EC-B833-9CDFC83BB7BB}">
  <dimension ref="A1:H49"/>
  <sheetViews>
    <sheetView topLeftCell="A30" zoomScale="79" workbookViewId="0">
      <selection activeCell="E42" sqref="E42:G42"/>
    </sheetView>
  </sheetViews>
  <sheetFormatPr baseColWidth="10" defaultRowHeight="14.25"/>
  <cols>
    <col min="1" max="1" width="85.625" customWidth="1"/>
    <col min="2" max="2" width="48.625" customWidth="1"/>
    <col min="3" max="4" width="21.875" customWidth="1"/>
    <col min="5" max="5" width="33.125" customWidth="1"/>
    <col min="6" max="6" width="32.625" customWidth="1"/>
    <col min="7" max="7" width="34.875" customWidth="1"/>
    <col min="8" max="8" width="24.375" customWidth="1"/>
  </cols>
  <sheetData>
    <row r="1" spans="1:8">
      <c r="A1" s="234" t="s">
        <v>207</v>
      </c>
      <c r="B1" s="235"/>
      <c r="C1" s="235"/>
      <c r="D1" s="235"/>
      <c r="E1" s="235"/>
      <c r="F1" s="236"/>
    </row>
    <row r="2" spans="1:8">
      <c r="A2" s="237"/>
      <c r="B2" s="238"/>
      <c r="C2" s="238"/>
      <c r="D2" s="238"/>
      <c r="E2" s="238"/>
      <c r="F2" s="239"/>
    </row>
    <row r="3" spans="1:8">
      <c r="B3" s="3"/>
      <c r="C3" s="3"/>
      <c r="D3" s="3"/>
    </row>
    <row r="4" spans="1:8">
      <c r="B4" s="3"/>
      <c r="C4" s="3"/>
      <c r="D4" s="3"/>
    </row>
    <row r="5" spans="1:8">
      <c r="A5" s="4" t="s">
        <v>1</v>
      </c>
      <c r="B5" s="5"/>
      <c r="C5" s="67"/>
      <c r="D5" s="67"/>
      <c r="E5" s="13" t="s">
        <v>2</v>
      </c>
      <c r="F5" s="14"/>
      <c r="G5" s="15"/>
    </row>
    <row r="6" spans="1:8">
      <c r="A6" s="4" t="s">
        <v>3</v>
      </c>
      <c r="B6" s="6"/>
      <c r="C6" s="6"/>
      <c r="D6" s="6"/>
      <c r="E6" s="7" t="s">
        <v>4</v>
      </c>
      <c r="F6" s="7" t="s">
        <v>5</v>
      </c>
      <c r="G6" s="7" t="s">
        <v>6</v>
      </c>
    </row>
    <row r="7" spans="1:8">
      <c r="A7" s="4" t="s">
        <v>7</v>
      </c>
      <c r="B7" s="5"/>
      <c r="C7" s="5"/>
      <c r="D7" s="5"/>
      <c r="E7" s="8">
        <v>1</v>
      </c>
      <c r="F7" s="9">
        <v>0</v>
      </c>
      <c r="G7" s="7">
        <v>1</v>
      </c>
    </row>
    <row r="10" spans="1:8" ht="15.75">
      <c r="A10" s="240"/>
      <c r="B10" s="241"/>
      <c r="C10" s="221" t="s">
        <v>72</v>
      </c>
      <c r="D10" s="221" t="s">
        <v>73</v>
      </c>
      <c r="E10" s="191" t="s">
        <v>206</v>
      </c>
      <c r="F10" s="192"/>
      <c r="G10" s="192"/>
      <c r="H10" s="193"/>
    </row>
    <row r="11" spans="1:8" ht="15.75">
      <c r="A11" s="180" t="s">
        <v>8</v>
      </c>
      <c r="B11" s="211"/>
      <c r="C11" s="222"/>
      <c r="D11" s="222"/>
      <c r="E11" s="191"/>
      <c r="F11" s="192"/>
      <c r="G11" s="192"/>
      <c r="H11" s="196"/>
    </row>
    <row r="12" spans="1:8" ht="15">
      <c r="A12" s="181"/>
      <c r="B12" s="212"/>
      <c r="C12" s="222"/>
      <c r="D12" s="222"/>
      <c r="E12" s="16" t="s">
        <v>9</v>
      </c>
      <c r="F12" s="11" t="s">
        <v>10</v>
      </c>
      <c r="G12" s="12" t="s">
        <v>11</v>
      </c>
      <c r="H12" s="12" t="s">
        <v>12</v>
      </c>
    </row>
    <row r="13" spans="1:8">
      <c r="A13" s="181"/>
      <c r="B13" s="212"/>
      <c r="C13" s="222"/>
      <c r="D13" s="222"/>
      <c r="E13" s="177" t="s">
        <v>2</v>
      </c>
      <c r="F13" s="177"/>
      <c r="G13" s="178"/>
      <c r="H13" s="216" t="s">
        <v>0</v>
      </c>
    </row>
    <row r="14" spans="1:8" ht="15">
      <c r="A14" s="182"/>
      <c r="B14" s="213"/>
      <c r="C14" s="223"/>
      <c r="D14" s="223"/>
      <c r="E14" s="17" t="s">
        <v>13</v>
      </c>
      <c r="F14" s="10" t="s">
        <v>5</v>
      </c>
      <c r="G14" s="10" t="s">
        <v>6</v>
      </c>
      <c r="H14" s="217"/>
    </row>
    <row r="15" spans="1:8" ht="60" customHeight="1">
      <c r="A15" s="228" t="s">
        <v>111</v>
      </c>
      <c r="B15" s="143" t="s">
        <v>205</v>
      </c>
      <c r="C15" s="144">
        <v>1.4999999999999999E-2</v>
      </c>
      <c r="D15" s="70">
        <f t="shared" ref="D15:D40" si="0">IF(COUNTA(E15:G15)&gt;1, "PORFAVOR MARQUE UNA SOLA OPCION", IF(OR(E15&lt;&gt;"", G15&lt;&gt;""), C15, IF(F15&lt;&gt;"", 0, 0)))</f>
        <v>0</v>
      </c>
      <c r="E15" s="1"/>
      <c r="F15" s="139"/>
      <c r="G15" s="139"/>
      <c r="H15" s="139"/>
    </row>
    <row r="16" spans="1:8" ht="24">
      <c r="A16" s="229"/>
      <c r="B16" s="143" t="s">
        <v>204</v>
      </c>
      <c r="C16" s="144">
        <v>1.4999999999999999E-2</v>
      </c>
      <c r="D16" s="70">
        <f t="shared" si="0"/>
        <v>0</v>
      </c>
      <c r="E16" s="1"/>
      <c r="F16" s="139"/>
      <c r="G16" s="139"/>
      <c r="H16" s="139"/>
    </row>
    <row r="17" spans="1:8" ht="36" customHeight="1">
      <c r="A17" s="229"/>
      <c r="B17" s="145" t="s">
        <v>203</v>
      </c>
      <c r="C17" s="144">
        <v>1.4999999999999999E-2</v>
      </c>
      <c r="D17" s="70">
        <f t="shared" si="0"/>
        <v>0</v>
      </c>
      <c r="E17" s="1"/>
      <c r="F17" s="139"/>
      <c r="G17" s="139"/>
      <c r="H17" s="139"/>
    </row>
    <row r="18" spans="1:8" ht="36">
      <c r="A18" s="230"/>
      <c r="B18" s="145" t="s">
        <v>202</v>
      </c>
      <c r="C18" s="144">
        <v>1.4999999999999999E-2</v>
      </c>
      <c r="D18" s="70">
        <f t="shared" si="0"/>
        <v>0</v>
      </c>
      <c r="E18" s="1"/>
      <c r="F18" s="139"/>
      <c r="G18" s="139"/>
      <c r="H18" s="139"/>
    </row>
    <row r="19" spans="1:8" ht="36">
      <c r="A19" s="205" t="s">
        <v>164</v>
      </c>
      <c r="B19" s="143" t="s">
        <v>201</v>
      </c>
      <c r="C19" s="135">
        <v>0.02</v>
      </c>
      <c r="D19" s="70">
        <f t="shared" si="0"/>
        <v>0</v>
      </c>
      <c r="E19" s="1"/>
      <c r="F19" s="139"/>
      <c r="G19" s="139"/>
      <c r="H19" s="139"/>
    </row>
    <row r="20" spans="1:8" ht="24">
      <c r="A20" s="206"/>
      <c r="B20" s="143" t="s">
        <v>200</v>
      </c>
      <c r="C20" s="135">
        <v>0.02</v>
      </c>
      <c r="D20" s="70">
        <f t="shared" si="0"/>
        <v>0</v>
      </c>
      <c r="E20" s="1"/>
      <c r="F20" s="139"/>
      <c r="G20" s="139"/>
      <c r="H20" s="139"/>
    </row>
    <row r="21" spans="1:8" ht="60">
      <c r="A21" s="206"/>
      <c r="B21" s="143" t="s">
        <v>199</v>
      </c>
      <c r="C21" s="135">
        <v>0.02</v>
      </c>
      <c r="D21" s="70">
        <f t="shared" si="0"/>
        <v>0</v>
      </c>
      <c r="E21" s="1"/>
      <c r="F21" s="139"/>
      <c r="G21" s="139"/>
      <c r="H21" s="139"/>
    </row>
    <row r="22" spans="1:8" ht="60">
      <c r="A22" s="206"/>
      <c r="B22" s="145" t="s">
        <v>198</v>
      </c>
      <c r="C22" s="135">
        <v>0.02</v>
      </c>
      <c r="D22" s="70">
        <f t="shared" si="0"/>
        <v>0</v>
      </c>
      <c r="E22" s="1"/>
      <c r="F22" s="143"/>
      <c r="G22" s="139"/>
      <c r="H22" s="139"/>
    </row>
    <row r="23" spans="1:8" ht="60">
      <c r="A23" s="206"/>
      <c r="B23" s="145" t="s">
        <v>197</v>
      </c>
      <c r="C23" s="135">
        <v>0.02</v>
      </c>
      <c r="D23" s="70">
        <f t="shared" si="0"/>
        <v>0</v>
      </c>
      <c r="E23" s="1"/>
      <c r="F23" s="143"/>
      <c r="G23" s="139"/>
      <c r="H23" s="139"/>
    </row>
    <row r="24" spans="1:8" ht="24">
      <c r="A24" s="207"/>
      <c r="B24" s="145" t="s">
        <v>196</v>
      </c>
      <c r="C24" s="135">
        <v>0.02</v>
      </c>
      <c r="D24" s="70">
        <f t="shared" si="0"/>
        <v>0</v>
      </c>
      <c r="E24" s="1"/>
      <c r="F24" s="139"/>
      <c r="G24" s="139"/>
      <c r="H24" s="139"/>
    </row>
    <row r="25" spans="1:8" ht="24">
      <c r="A25" s="205" t="s">
        <v>195</v>
      </c>
      <c r="B25" s="136" t="s">
        <v>194</v>
      </c>
      <c r="C25" s="135">
        <v>0.1</v>
      </c>
      <c r="D25" s="70">
        <f t="shared" si="0"/>
        <v>0</v>
      </c>
      <c r="E25" s="1"/>
      <c r="F25" s="139"/>
      <c r="G25" s="139"/>
      <c r="H25" s="139"/>
    </row>
    <row r="26" spans="1:8" ht="48">
      <c r="A26" s="206"/>
      <c r="B26" s="136" t="s">
        <v>193</v>
      </c>
      <c r="C26" s="135">
        <v>0.1</v>
      </c>
      <c r="D26" s="70">
        <f t="shared" si="0"/>
        <v>0</v>
      </c>
      <c r="E26" s="1"/>
      <c r="F26" s="139"/>
      <c r="G26" s="139"/>
      <c r="H26" s="139"/>
    </row>
    <row r="27" spans="1:8" ht="36">
      <c r="A27" s="206"/>
      <c r="B27" s="136" t="s">
        <v>192</v>
      </c>
      <c r="C27" s="135">
        <v>0.1</v>
      </c>
      <c r="D27" s="70">
        <f t="shared" si="0"/>
        <v>0</v>
      </c>
      <c r="E27" s="1"/>
      <c r="F27" s="139"/>
      <c r="G27" s="139"/>
      <c r="H27" s="139"/>
    </row>
    <row r="28" spans="1:8" ht="36">
      <c r="A28" s="206"/>
      <c r="B28" s="136" t="s">
        <v>191</v>
      </c>
      <c r="C28" s="135">
        <v>0.1</v>
      </c>
      <c r="D28" s="70">
        <f t="shared" si="0"/>
        <v>0</v>
      </c>
      <c r="E28" s="1"/>
      <c r="F28" s="139"/>
      <c r="G28" s="139"/>
      <c r="H28" s="139"/>
    </row>
    <row r="29" spans="1:8" ht="60">
      <c r="A29" s="207"/>
      <c r="B29" s="136" t="s">
        <v>190</v>
      </c>
      <c r="C29" s="135">
        <v>0.1</v>
      </c>
      <c r="D29" s="70">
        <f t="shared" si="0"/>
        <v>0</v>
      </c>
      <c r="E29" s="1"/>
      <c r="F29" s="139"/>
      <c r="G29" s="139"/>
      <c r="H29" s="139"/>
    </row>
    <row r="30" spans="1:8" ht="120">
      <c r="A30" s="137" t="s">
        <v>189</v>
      </c>
      <c r="B30" s="136" t="s">
        <v>188</v>
      </c>
      <c r="C30" s="135">
        <v>0.1</v>
      </c>
      <c r="D30" s="70">
        <f t="shared" si="0"/>
        <v>0</v>
      </c>
      <c r="E30" s="1"/>
      <c r="F30" s="142"/>
      <c r="G30" s="142"/>
      <c r="H30" s="142"/>
    </row>
    <row r="31" spans="1:8" ht="24">
      <c r="A31" s="228" t="s">
        <v>187</v>
      </c>
      <c r="B31" s="136" t="s">
        <v>186</v>
      </c>
      <c r="C31" s="135">
        <v>0.03</v>
      </c>
      <c r="D31" s="70">
        <f t="shared" si="0"/>
        <v>0</v>
      </c>
      <c r="E31" s="1"/>
      <c r="F31" s="142"/>
      <c r="G31" s="142"/>
      <c r="H31" s="142"/>
    </row>
    <row r="32" spans="1:8" ht="15">
      <c r="A32" s="230"/>
      <c r="B32" s="136" t="s">
        <v>185</v>
      </c>
      <c r="C32" s="135">
        <v>0.03</v>
      </c>
      <c r="D32" s="70">
        <f t="shared" si="0"/>
        <v>0</v>
      </c>
      <c r="E32" s="1"/>
      <c r="F32" s="142"/>
      <c r="G32" s="142"/>
      <c r="H32" s="142"/>
    </row>
    <row r="33" spans="1:8" ht="36">
      <c r="A33" s="205" t="s">
        <v>184</v>
      </c>
      <c r="B33" s="136" t="s">
        <v>183</v>
      </c>
      <c r="C33" s="135">
        <v>0.02</v>
      </c>
      <c r="D33" s="70">
        <f t="shared" si="0"/>
        <v>0</v>
      </c>
      <c r="E33" s="1"/>
      <c r="F33" s="142"/>
      <c r="G33" s="142"/>
      <c r="H33" s="142"/>
    </row>
    <row r="34" spans="1:8" ht="48">
      <c r="A34" s="206"/>
      <c r="B34" s="136" t="s">
        <v>182</v>
      </c>
      <c r="C34" s="135">
        <v>0.02</v>
      </c>
      <c r="D34" s="70">
        <f t="shared" si="0"/>
        <v>0</v>
      </c>
      <c r="E34" s="1"/>
      <c r="F34" s="142"/>
      <c r="G34" s="142"/>
      <c r="H34" s="142"/>
    </row>
    <row r="35" spans="1:8" ht="15">
      <c r="A35" s="206"/>
      <c r="B35" s="136" t="s">
        <v>181</v>
      </c>
      <c r="C35" s="135">
        <v>0.02</v>
      </c>
      <c r="D35" s="70">
        <f t="shared" si="0"/>
        <v>0</v>
      </c>
      <c r="E35" s="1"/>
      <c r="F35" s="142"/>
      <c r="G35" s="142"/>
      <c r="H35" s="142"/>
    </row>
    <row r="36" spans="1:8" ht="24">
      <c r="A36" s="206"/>
      <c r="B36" s="136" t="s">
        <v>180</v>
      </c>
      <c r="C36" s="135">
        <v>0.02</v>
      </c>
      <c r="D36" s="70">
        <f t="shared" si="0"/>
        <v>0</v>
      </c>
      <c r="E36" s="1"/>
      <c r="F36" s="142"/>
      <c r="G36" s="142"/>
      <c r="H36" s="142"/>
    </row>
    <row r="37" spans="1:8" ht="24">
      <c r="A37" s="207"/>
      <c r="B37" s="136" t="s">
        <v>179</v>
      </c>
      <c r="C37" s="135">
        <v>0.02</v>
      </c>
      <c r="D37" s="70">
        <f t="shared" si="0"/>
        <v>0</v>
      </c>
      <c r="E37" s="1"/>
      <c r="F37" s="142"/>
      <c r="G37" s="142"/>
      <c r="H37" s="142"/>
    </row>
    <row r="38" spans="1:8" ht="60">
      <c r="A38" s="205" t="s">
        <v>178</v>
      </c>
      <c r="B38" s="136" t="s">
        <v>177</v>
      </c>
      <c r="C38" s="144">
        <v>1.4999999999999999E-2</v>
      </c>
      <c r="D38" s="70">
        <f t="shared" si="0"/>
        <v>0</v>
      </c>
      <c r="E38" s="1"/>
      <c r="F38" s="142"/>
      <c r="G38" s="142"/>
      <c r="H38" s="142"/>
    </row>
    <row r="39" spans="1:8" ht="60">
      <c r="A39" s="207"/>
      <c r="B39" s="136" t="s">
        <v>176</v>
      </c>
      <c r="C39" s="144">
        <v>1.4999999999999999E-2</v>
      </c>
      <c r="D39" s="70">
        <f t="shared" si="0"/>
        <v>0</v>
      </c>
      <c r="E39" s="1"/>
      <c r="F39" s="142"/>
      <c r="G39" s="142"/>
      <c r="H39" s="142"/>
    </row>
    <row r="40" spans="1:8" ht="36">
      <c r="A40" s="148" t="s">
        <v>132</v>
      </c>
      <c r="B40" s="136" t="s">
        <v>175</v>
      </c>
      <c r="C40" s="135">
        <v>0.03</v>
      </c>
      <c r="D40" s="70">
        <f t="shared" si="0"/>
        <v>0</v>
      </c>
      <c r="E40" s="1"/>
      <c r="F40" s="1"/>
      <c r="G40" s="142"/>
      <c r="H40" s="142"/>
    </row>
    <row r="41" spans="1:8" ht="15">
      <c r="A41" s="190" t="s">
        <v>16</v>
      </c>
      <c r="B41" s="188"/>
      <c r="C41" s="80">
        <f>SUM(C15:C40)</f>
        <v>1</v>
      </c>
      <c r="D41" s="80"/>
      <c r="E41" s="49">
        <f>COUNT(E15:E40)</f>
        <v>0</v>
      </c>
      <c r="F41" s="49">
        <f>COUNT(F15:F40)</f>
        <v>0</v>
      </c>
      <c r="G41" s="49">
        <f>COUNT(G15:G40)</f>
        <v>0</v>
      </c>
      <c r="H41" s="50"/>
    </row>
    <row r="42" spans="1:8" s="18" customFormat="1" ht="15">
      <c r="A42" s="200"/>
      <c r="B42" s="201"/>
      <c r="C42" s="69"/>
      <c r="D42" s="69"/>
      <c r="E42" s="197">
        <f>IFERROR((E41/((E41+F41+G41)-G41)),0)</f>
        <v>0</v>
      </c>
      <c r="F42" s="198"/>
      <c r="G42" s="199"/>
      <c r="H42" s="28"/>
    </row>
    <row r="45" spans="1:8" ht="15.75">
      <c r="A45" s="23" t="s">
        <v>67</v>
      </c>
      <c r="B45" s="24" t="s">
        <v>17</v>
      </c>
      <c r="C45" s="51"/>
      <c r="D45" s="51"/>
      <c r="E45" s="51"/>
      <c r="F45" s="52"/>
      <c r="G45" s="52"/>
      <c r="H45" s="53"/>
    </row>
    <row r="46" spans="1:8" ht="15.75">
      <c r="A46" s="25" t="s">
        <v>68</v>
      </c>
      <c r="B46" s="231" t="s">
        <v>69</v>
      </c>
      <c r="C46" s="232"/>
      <c r="D46" s="232"/>
      <c r="E46" s="232"/>
      <c r="F46" s="232"/>
      <c r="G46" s="232"/>
      <c r="H46" s="233"/>
    </row>
    <row r="47" spans="1:8" ht="15.75">
      <c r="A47" s="26" t="s">
        <v>70</v>
      </c>
      <c r="B47" s="231" t="s">
        <v>18</v>
      </c>
      <c r="C47" s="232"/>
      <c r="D47" s="232"/>
      <c r="E47" s="232"/>
      <c r="F47" s="232"/>
      <c r="G47" s="232"/>
      <c r="H47" s="233"/>
    </row>
    <row r="48" spans="1:8" ht="15.75">
      <c r="A48" s="27" t="s">
        <v>19</v>
      </c>
      <c r="B48" s="231" t="s">
        <v>20</v>
      </c>
      <c r="C48" s="232"/>
      <c r="D48" s="232"/>
      <c r="E48" s="232"/>
      <c r="F48" s="232"/>
      <c r="G48" s="232"/>
      <c r="H48" s="233"/>
    </row>
    <row r="49" spans="2:4">
      <c r="B49" s="147"/>
      <c r="C49" s="147"/>
      <c r="D49" s="147"/>
    </row>
  </sheetData>
  <mergeCells count="20">
    <mergeCell ref="A1:F2"/>
    <mergeCell ref="A10:B10"/>
    <mergeCell ref="C10:C14"/>
    <mergeCell ref="E10:H10"/>
    <mergeCell ref="A11:B14"/>
    <mergeCell ref="E11:H11"/>
    <mergeCell ref="E13:G13"/>
    <mergeCell ref="H13:H14"/>
    <mergeCell ref="D10:D14"/>
    <mergeCell ref="A31:A32"/>
    <mergeCell ref="A33:A37"/>
    <mergeCell ref="A38:A39"/>
    <mergeCell ref="A15:A18"/>
    <mergeCell ref="A19:A24"/>
    <mergeCell ref="A25:A29"/>
    <mergeCell ref="A41:B42"/>
    <mergeCell ref="E42:G42"/>
    <mergeCell ref="B46:H46"/>
    <mergeCell ref="B47:H47"/>
    <mergeCell ref="B48:H48"/>
  </mergeCells>
  <conditionalFormatting sqref="B49:D49">
    <cfRule type="colorScale" priority="5">
      <colorScale>
        <cfvo type="formula" val="&quot;&lt;=50%&quot;"/>
        <cfvo type="formula" val="&quot;&gt;=50%&quot;"/>
        <cfvo type="formula" val="&quot;&gt;=85%&quot;"/>
        <color rgb="FFF8696B"/>
        <color rgb="FFFFEB84"/>
        <color rgb="FF63BE7B"/>
      </colorScale>
    </cfRule>
  </conditionalFormatting>
  <conditionalFormatting sqref="E42:G42">
    <cfRule type="colorScale" priority="6">
      <colorScale>
        <cfvo type="num" val="0.5"/>
        <cfvo type="num" val="0.7"/>
        <cfvo type="num" val="1"/>
        <color rgb="FFFF0000"/>
        <color rgb="FFFFEB84"/>
        <color theme="9" tint="-0.249977111117893"/>
      </colorScale>
    </cfRule>
  </conditionalFormatting>
  <conditionalFormatting sqref="D15:D40">
    <cfRule type="cellIs" dxfId="17" priority="1" operator="equal">
      <formula>0</formula>
    </cfRule>
    <cfRule type="containsText" dxfId="16" priority="2" operator="containsText" text="PORFAVOR MARQUE UNA SOLA OPCION">
      <formula>NOT(ISERROR(SEARCH("PORFAVOR MARQUE UNA SOLA OPCION",D15)))</formula>
    </cfRule>
    <cfRule type="cellIs" dxfId="15" priority="3" operator="greater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285D-ABCA-4BDB-989E-E912053BCF5F}">
  <dimension ref="A1:H55"/>
  <sheetViews>
    <sheetView topLeftCell="B35" zoomScale="70" workbookViewId="0">
      <selection activeCell="E48" sqref="E48:G49"/>
    </sheetView>
  </sheetViews>
  <sheetFormatPr baseColWidth="10" defaultRowHeight="14.25"/>
  <cols>
    <col min="1" max="1" width="85.625" customWidth="1"/>
    <col min="2" max="2" width="48.625" customWidth="1"/>
    <col min="3" max="4" width="21.25" customWidth="1"/>
    <col min="5" max="5" width="33.125" customWidth="1"/>
    <col min="6" max="6" width="32.625" customWidth="1"/>
    <col min="7" max="7" width="34.875" customWidth="1"/>
    <col min="8" max="8" width="24.375" customWidth="1"/>
  </cols>
  <sheetData>
    <row r="1" spans="1:8">
      <c r="A1" s="179" t="s">
        <v>174</v>
      </c>
      <c r="B1" s="179"/>
      <c r="C1" s="179"/>
      <c r="D1" s="179"/>
      <c r="E1" s="179"/>
      <c r="F1" s="179"/>
    </row>
    <row r="2" spans="1:8">
      <c r="A2" s="179"/>
      <c r="B2" s="179"/>
      <c r="C2" s="179"/>
      <c r="D2" s="179"/>
      <c r="E2" s="179"/>
      <c r="F2" s="179"/>
    </row>
    <row r="3" spans="1:8">
      <c r="B3" s="3"/>
      <c r="C3" s="3"/>
      <c r="D3" s="3"/>
    </row>
    <row r="4" spans="1:8">
      <c r="B4" s="3"/>
      <c r="C4" s="3"/>
      <c r="D4" s="3"/>
    </row>
    <row r="5" spans="1:8">
      <c r="A5" s="4" t="s">
        <v>173</v>
      </c>
      <c r="B5" s="5"/>
      <c r="C5" s="67"/>
      <c r="D5" s="67"/>
      <c r="E5" s="13" t="s">
        <v>2</v>
      </c>
      <c r="F5" s="14"/>
      <c r="G5" s="15"/>
    </row>
    <row r="6" spans="1:8">
      <c r="A6" s="4" t="s">
        <v>172</v>
      </c>
      <c r="B6" s="6"/>
      <c r="C6" s="6"/>
      <c r="D6" s="6"/>
      <c r="E6" s="7" t="s">
        <v>4</v>
      </c>
      <c r="F6" s="7" t="s">
        <v>5</v>
      </c>
      <c r="G6" s="7" t="s">
        <v>6</v>
      </c>
    </row>
    <row r="7" spans="1:8">
      <c r="A7" s="4" t="s">
        <v>171</v>
      </c>
      <c r="B7" s="5"/>
      <c r="C7" s="5"/>
      <c r="D7" s="5"/>
      <c r="E7" s="8">
        <v>1</v>
      </c>
      <c r="F7" s="146">
        <v>0</v>
      </c>
      <c r="G7" s="7">
        <v>1</v>
      </c>
    </row>
    <row r="10" spans="1:8" ht="15.75">
      <c r="A10" s="189"/>
      <c r="B10" s="189"/>
      <c r="C10" s="10"/>
      <c r="D10" s="10"/>
      <c r="E10" s="214" t="s">
        <v>170</v>
      </c>
      <c r="F10" s="214"/>
      <c r="G10" s="214"/>
      <c r="H10" s="214"/>
    </row>
    <row r="11" spans="1:8" ht="15.75">
      <c r="A11" s="180" t="s">
        <v>8</v>
      </c>
      <c r="B11" s="211"/>
      <c r="C11" s="180" t="s">
        <v>72</v>
      </c>
      <c r="D11" s="180" t="s">
        <v>73</v>
      </c>
      <c r="E11" s="193"/>
      <c r="F11" s="214"/>
      <c r="G11" s="214"/>
      <c r="H11" s="215"/>
    </row>
    <row r="12" spans="1:8" ht="15">
      <c r="A12" s="181"/>
      <c r="B12" s="212"/>
      <c r="C12" s="181"/>
      <c r="D12" s="181"/>
      <c r="E12" s="16" t="s">
        <v>9</v>
      </c>
      <c r="F12" s="11" t="s">
        <v>10</v>
      </c>
      <c r="G12" s="12" t="s">
        <v>11</v>
      </c>
      <c r="H12" s="12" t="s">
        <v>12</v>
      </c>
    </row>
    <row r="13" spans="1:8">
      <c r="A13" s="181"/>
      <c r="B13" s="212"/>
      <c r="C13" s="181"/>
      <c r="D13" s="181"/>
      <c r="E13" s="177" t="s">
        <v>2</v>
      </c>
      <c r="F13" s="177"/>
      <c r="G13" s="178"/>
      <c r="H13" s="216" t="s">
        <v>0</v>
      </c>
    </row>
    <row r="14" spans="1:8" ht="15">
      <c r="A14" s="182"/>
      <c r="B14" s="213"/>
      <c r="C14" s="182"/>
      <c r="D14" s="182"/>
      <c r="E14" s="17" t="s">
        <v>13</v>
      </c>
      <c r="F14" s="10" t="s">
        <v>5</v>
      </c>
      <c r="G14" s="10" t="s">
        <v>6</v>
      </c>
      <c r="H14" s="217"/>
    </row>
    <row r="15" spans="1:8" ht="60" customHeight="1">
      <c r="A15" s="228" t="s">
        <v>111</v>
      </c>
      <c r="B15" s="145" t="s">
        <v>169</v>
      </c>
      <c r="C15" s="135">
        <v>0.02</v>
      </c>
      <c r="D15" s="70">
        <f t="shared" ref="D15:D47" si="0">IF(COUNTA(E15:G15)&gt;1, "PORFAVOR MARQUE UNA SOLA OPCION", IF(OR(E15&lt;&gt;"", G15&lt;&gt;""), C15, IF(F15&lt;&gt;"", 0, 0)))</f>
        <v>0</v>
      </c>
      <c r="E15" s="1"/>
      <c r="F15" s="139"/>
      <c r="G15" s="139"/>
      <c r="H15" s="139"/>
    </row>
    <row r="16" spans="1:8" ht="24">
      <c r="A16" s="229"/>
      <c r="B16" s="145" t="s">
        <v>168</v>
      </c>
      <c r="C16" s="144">
        <v>2.5000000000000001E-2</v>
      </c>
      <c r="D16" s="70">
        <f t="shared" si="0"/>
        <v>0</v>
      </c>
      <c r="E16" s="1"/>
      <c r="F16" s="139"/>
      <c r="G16" s="139"/>
      <c r="H16" s="139"/>
    </row>
    <row r="17" spans="1:8" ht="36" customHeight="1">
      <c r="A17" s="229"/>
      <c r="B17" s="145" t="s">
        <v>167</v>
      </c>
      <c r="C17" s="144">
        <v>2.5000000000000001E-2</v>
      </c>
      <c r="D17" s="70">
        <f t="shared" si="0"/>
        <v>0</v>
      </c>
      <c r="E17" s="1"/>
      <c r="F17" s="139"/>
      <c r="G17" s="139"/>
      <c r="H17" s="139"/>
    </row>
    <row r="18" spans="1:8" ht="36" customHeight="1">
      <c r="A18" s="229"/>
      <c r="B18" s="145" t="s">
        <v>166</v>
      </c>
      <c r="C18" s="144">
        <v>2.5000000000000001E-2</v>
      </c>
      <c r="D18" s="70">
        <f t="shared" si="0"/>
        <v>0</v>
      </c>
      <c r="E18" s="1"/>
      <c r="F18" s="139"/>
      <c r="G18" s="139"/>
      <c r="H18" s="139"/>
    </row>
    <row r="19" spans="1:8" ht="24">
      <c r="A19" s="230"/>
      <c r="B19" s="145" t="s">
        <v>165</v>
      </c>
      <c r="C19" s="144">
        <v>2.5000000000000001E-2</v>
      </c>
      <c r="D19" s="70">
        <f t="shared" si="0"/>
        <v>0</v>
      </c>
      <c r="E19" s="1"/>
      <c r="F19" s="139"/>
      <c r="G19" s="139"/>
      <c r="H19" s="139"/>
    </row>
    <row r="20" spans="1:8" ht="36">
      <c r="A20" s="205" t="s">
        <v>164</v>
      </c>
      <c r="B20" s="141" t="s">
        <v>163</v>
      </c>
      <c r="C20" s="140">
        <v>0.02</v>
      </c>
      <c r="D20" s="70">
        <f t="shared" si="0"/>
        <v>0</v>
      </c>
      <c r="E20" s="1"/>
      <c r="F20" s="139"/>
      <c r="G20" s="139"/>
      <c r="H20" s="139"/>
    </row>
    <row r="21" spans="1:8" ht="60">
      <c r="A21" s="206"/>
      <c r="B21" s="141" t="s">
        <v>162</v>
      </c>
      <c r="C21" s="140">
        <v>0.02</v>
      </c>
      <c r="D21" s="70">
        <f t="shared" si="0"/>
        <v>0</v>
      </c>
      <c r="E21" s="1"/>
      <c r="F21" s="139"/>
      <c r="G21" s="139"/>
      <c r="H21" s="139"/>
    </row>
    <row r="22" spans="1:8" ht="36">
      <c r="A22" s="206"/>
      <c r="B22" s="141" t="s">
        <v>161</v>
      </c>
      <c r="C22" s="140">
        <v>0.02</v>
      </c>
      <c r="D22" s="70">
        <f t="shared" si="0"/>
        <v>0</v>
      </c>
      <c r="E22" s="1"/>
      <c r="F22" s="139"/>
      <c r="G22" s="139"/>
      <c r="H22" s="139"/>
    </row>
    <row r="23" spans="1:8" ht="36">
      <c r="A23" s="206"/>
      <c r="B23" s="141" t="s">
        <v>160</v>
      </c>
      <c r="C23" s="140">
        <v>0.02</v>
      </c>
      <c r="D23" s="70">
        <f t="shared" si="0"/>
        <v>0</v>
      </c>
      <c r="E23" s="1"/>
      <c r="F23" s="143"/>
      <c r="G23" s="139"/>
      <c r="H23" s="139"/>
    </row>
    <row r="24" spans="1:8" ht="72">
      <c r="A24" s="206"/>
      <c r="B24" s="141" t="s">
        <v>159</v>
      </c>
      <c r="C24" s="140">
        <v>0.02</v>
      </c>
      <c r="D24" s="70">
        <f t="shared" si="0"/>
        <v>0</v>
      </c>
      <c r="E24" s="1"/>
      <c r="F24" s="143"/>
      <c r="G24" s="139"/>
      <c r="H24" s="139"/>
    </row>
    <row r="25" spans="1:8" ht="36">
      <c r="A25" s="206"/>
      <c r="B25" s="141" t="s">
        <v>158</v>
      </c>
      <c r="C25" s="140">
        <v>0.02</v>
      </c>
      <c r="D25" s="70">
        <f t="shared" si="0"/>
        <v>0</v>
      </c>
      <c r="E25" s="1"/>
      <c r="F25" s="1"/>
      <c r="G25" s="139"/>
      <c r="H25" s="139"/>
    </row>
    <row r="26" spans="1:8" ht="50.45" customHeight="1">
      <c r="A26" s="207"/>
      <c r="B26" s="141" t="s">
        <v>157</v>
      </c>
      <c r="C26" s="140">
        <v>0.02</v>
      </c>
      <c r="D26" s="70">
        <f t="shared" si="0"/>
        <v>0</v>
      </c>
      <c r="E26" s="1"/>
      <c r="F26" s="1"/>
      <c r="G26" s="139"/>
      <c r="H26" s="139"/>
    </row>
    <row r="27" spans="1:8" ht="36">
      <c r="A27" s="228" t="s">
        <v>156</v>
      </c>
      <c r="B27" s="136" t="s">
        <v>155</v>
      </c>
      <c r="C27" s="140">
        <v>0.05</v>
      </c>
      <c r="D27" s="70">
        <f t="shared" si="0"/>
        <v>0</v>
      </c>
      <c r="E27" s="1"/>
      <c r="F27" s="1"/>
      <c r="G27" s="139"/>
      <c r="H27" s="139"/>
    </row>
    <row r="28" spans="1:8" ht="24">
      <c r="A28" s="229"/>
      <c r="B28" s="136" t="s">
        <v>154</v>
      </c>
      <c r="C28" s="140">
        <v>0.06</v>
      </c>
      <c r="D28" s="70">
        <f t="shared" si="0"/>
        <v>0</v>
      </c>
      <c r="E28" s="1"/>
      <c r="F28" s="1"/>
      <c r="G28" s="139"/>
      <c r="H28" s="139"/>
    </row>
    <row r="29" spans="1:8" ht="24">
      <c r="A29" s="229"/>
      <c r="B29" s="136" t="s">
        <v>153</v>
      </c>
      <c r="C29" s="140">
        <v>0.06</v>
      </c>
      <c r="D29" s="70">
        <f t="shared" si="0"/>
        <v>0</v>
      </c>
      <c r="E29" s="1"/>
      <c r="F29" s="1"/>
      <c r="G29" s="139"/>
      <c r="H29" s="139"/>
    </row>
    <row r="30" spans="1:8" ht="36">
      <c r="A30" s="229"/>
      <c r="B30" s="136" t="s">
        <v>152</v>
      </c>
      <c r="C30" s="140">
        <v>0.05</v>
      </c>
      <c r="D30" s="70">
        <f t="shared" si="0"/>
        <v>0</v>
      </c>
      <c r="E30" s="1"/>
      <c r="F30" s="1"/>
      <c r="G30" s="139"/>
      <c r="H30" s="139"/>
    </row>
    <row r="31" spans="1:8" ht="24">
      <c r="A31" s="229"/>
      <c r="B31" s="136" t="s">
        <v>151</v>
      </c>
      <c r="C31" s="140">
        <v>0.05</v>
      </c>
      <c r="D31" s="70">
        <f t="shared" si="0"/>
        <v>0</v>
      </c>
      <c r="E31" s="1"/>
      <c r="F31" s="139"/>
      <c r="G31" s="139"/>
      <c r="H31" s="139"/>
    </row>
    <row r="32" spans="1:8" ht="24">
      <c r="A32" s="229"/>
      <c r="B32" s="136" t="s">
        <v>150</v>
      </c>
      <c r="C32" s="140">
        <v>0.05</v>
      </c>
      <c r="D32" s="70">
        <f t="shared" si="0"/>
        <v>0</v>
      </c>
      <c r="E32" s="1"/>
      <c r="F32" s="142"/>
      <c r="G32" s="142"/>
      <c r="H32" s="142"/>
    </row>
    <row r="33" spans="1:8" ht="36">
      <c r="A33" s="229"/>
      <c r="B33" s="136" t="s">
        <v>149</v>
      </c>
      <c r="C33" s="140">
        <v>0.05</v>
      </c>
      <c r="D33" s="70">
        <f t="shared" si="0"/>
        <v>0</v>
      </c>
      <c r="E33" s="1"/>
      <c r="F33" s="142"/>
      <c r="G33" s="142"/>
      <c r="H33" s="142"/>
    </row>
    <row r="34" spans="1:8" ht="48">
      <c r="A34" s="230"/>
      <c r="B34" s="141" t="s">
        <v>148</v>
      </c>
      <c r="C34" s="140">
        <v>0.05</v>
      </c>
      <c r="D34" s="70">
        <f t="shared" si="0"/>
        <v>0</v>
      </c>
      <c r="E34" s="1"/>
      <c r="F34" s="142"/>
      <c r="G34" s="142"/>
      <c r="H34" s="142"/>
    </row>
    <row r="35" spans="1:8" ht="36">
      <c r="A35" s="220" t="s">
        <v>147</v>
      </c>
      <c r="B35" s="136" t="s">
        <v>146</v>
      </c>
      <c r="C35" s="140">
        <v>0.03</v>
      </c>
      <c r="D35" s="70">
        <f t="shared" si="0"/>
        <v>0</v>
      </c>
      <c r="E35" s="1"/>
      <c r="F35" s="142"/>
      <c r="G35" s="142"/>
      <c r="H35" s="142"/>
    </row>
    <row r="36" spans="1:8" ht="48">
      <c r="A36" s="220"/>
      <c r="B36" s="136" t="s">
        <v>145</v>
      </c>
      <c r="C36" s="140">
        <v>0.03</v>
      </c>
      <c r="D36" s="70">
        <f t="shared" si="0"/>
        <v>0</v>
      </c>
      <c r="E36" s="1"/>
      <c r="F36" s="142"/>
      <c r="G36" s="142"/>
      <c r="H36" s="142"/>
    </row>
    <row r="37" spans="1:8" ht="36">
      <c r="A37" s="220"/>
      <c r="B37" s="136" t="s">
        <v>144</v>
      </c>
      <c r="C37" s="140">
        <v>0.03</v>
      </c>
      <c r="D37" s="70">
        <f t="shared" si="0"/>
        <v>0</v>
      </c>
      <c r="E37" s="1"/>
      <c r="F37" s="142"/>
      <c r="G37" s="142"/>
      <c r="H37" s="142"/>
    </row>
    <row r="38" spans="1:8" ht="48">
      <c r="A38" s="205" t="s">
        <v>143</v>
      </c>
      <c r="B38" s="141" t="s">
        <v>142</v>
      </c>
      <c r="C38" s="140">
        <v>0.02</v>
      </c>
      <c r="D38" s="70">
        <f t="shared" si="0"/>
        <v>0</v>
      </c>
      <c r="E38" s="1"/>
      <c r="F38" s="142"/>
      <c r="G38" s="142"/>
      <c r="H38" s="142"/>
    </row>
    <row r="39" spans="1:8" ht="24">
      <c r="A39" s="206"/>
      <c r="B39" s="141" t="s">
        <v>141</v>
      </c>
      <c r="C39" s="140">
        <v>0.02</v>
      </c>
      <c r="D39" s="70">
        <f t="shared" si="0"/>
        <v>0</v>
      </c>
      <c r="E39" s="1"/>
      <c r="F39" s="142"/>
      <c r="G39" s="142"/>
      <c r="H39" s="142"/>
    </row>
    <row r="40" spans="1:8" ht="36">
      <c r="A40" s="206"/>
      <c r="B40" s="141" t="s">
        <v>140</v>
      </c>
      <c r="C40" s="140">
        <v>0.02</v>
      </c>
      <c r="D40" s="70">
        <f t="shared" si="0"/>
        <v>0</v>
      </c>
      <c r="E40" s="1"/>
      <c r="F40" s="142"/>
      <c r="G40" s="142"/>
      <c r="H40" s="142"/>
    </row>
    <row r="41" spans="1:8" ht="48">
      <c r="A41" s="206"/>
      <c r="B41" s="141" t="s">
        <v>139</v>
      </c>
      <c r="C41" s="140">
        <v>0.02</v>
      </c>
      <c r="D41" s="70">
        <f t="shared" si="0"/>
        <v>0</v>
      </c>
      <c r="E41" s="1"/>
      <c r="F41" s="142"/>
      <c r="G41" s="142"/>
      <c r="H41" s="142"/>
    </row>
    <row r="42" spans="1:8" ht="36">
      <c r="A42" s="206"/>
      <c r="B42" s="141" t="s">
        <v>138</v>
      </c>
      <c r="C42" s="140">
        <v>0.02</v>
      </c>
      <c r="D42" s="70">
        <f t="shared" si="0"/>
        <v>0</v>
      </c>
      <c r="E42" s="1"/>
      <c r="F42" s="139"/>
      <c r="G42" s="139"/>
      <c r="H42" s="139"/>
    </row>
    <row r="43" spans="1:8" ht="24">
      <c r="A43" s="220" t="s">
        <v>137</v>
      </c>
      <c r="B43" s="136" t="s">
        <v>136</v>
      </c>
      <c r="C43" s="135">
        <v>0.02</v>
      </c>
      <c r="D43" s="70">
        <f t="shared" si="0"/>
        <v>0</v>
      </c>
      <c r="E43" s="1"/>
      <c r="F43" s="138"/>
      <c r="G43" s="138"/>
      <c r="H43" s="138"/>
    </row>
    <row r="44" spans="1:8" ht="24">
      <c r="A44" s="220"/>
      <c r="B44" s="136" t="s">
        <v>135</v>
      </c>
      <c r="C44" s="135">
        <v>0.02</v>
      </c>
      <c r="D44" s="70">
        <f t="shared" si="0"/>
        <v>0</v>
      </c>
      <c r="E44" s="1"/>
      <c r="F44" s="138"/>
      <c r="G44" s="138"/>
      <c r="H44" s="138"/>
    </row>
    <row r="45" spans="1:8" ht="15">
      <c r="A45" s="220"/>
      <c r="B45" s="136" t="s">
        <v>134</v>
      </c>
      <c r="C45" s="135">
        <v>0.02</v>
      </c>
      <c r="D45" s="70">
        <f t="shared" si="0"/>
        <v>0</v>
      </c>
      <c r="E45" s="1"/>
      <c r="F45" s="138"/>
      <c r="G45" s="138"/>
      <c r="H45" s="138"/>
    </row>
    <row r="46" spans="1:8" ht="24">
      <c r="A46" s="220"/>
      <c r="B46" s="136" t="s">
        <v>133</v>
      </c>
      <c r="C46" s="135">
        <v>0.02</v>
      </c>
      <c r="D46" s="70">
        <f t="shared" si="0"/>
        <v>0</v>
      </c>
      <c r="E46" s="1"/>
      <c r="F46" s="138"/>
      <c r="G46" s="138"/>
      <c r="H46" s="138"/>
    </row>
    <row r="47" spans="1:8" ht="22.9" customHeight="1">
      <c r="A47" s="137" t="s">
        <v>132</v>
      </c>
      <c r="B47" s="136" t="s">
        <v>131</v>
      </c>
      <c r="C47" s="135">
        <v>0.05</v>
      </c>
      <c r="D47" s="70">
        <f t="shared" si="0"/>
        <v>0</v>
      </c>
      <c r="E47" s="1"/>
      <c r="F47" s="5"/>
      <c r="G47" s="18"/>
      <c r="H47" s="5"/>
    </row>
    <row r="48" spans="1:8" ht="15">
      <c r="A48" s="190" t="s">
        <v>16</v>
      </c>
      <c r="B48" s="188"/>
      <c r="C48" s="134">
        <f>SUM(C15:C47)</f>
        <v>1.0000000000000002</v>
      </c>
      <c r="D48" s="134"/>
      <c r="E48" s="133">
        <f>COUNT(E15:E47)</f>
        <v>0</v>
      </c>
      <c r="F48" s="49">
        <f>COUNT(F15:F47)</f>
        <v>0</v>
      </c>
      <c r="G48" s="49">
        <f>COUNT(G15:G47)</f>
        <v>0</v>
      </c>
      <c r="H48" s="50"/>
    </row>
    <row r="49" spans="1:8" s="18" customFormat="1" ht="15">
      <c r="A49" s="200"/>
      <c r="B49" s="201"/>
      <c r="C49" s="69"/>
      <c r="D49" s="69"/>
      <c r="E49" s="197">
        <f>IFERROR((E48/((E48+F48+G48)-G48)),0)</f>
        <v>0</v>
      </c>
      <c r="F49" s="198"/>
      <c r="G49" s="199"/>
      <c r="H49" s="28"/>
    </row>
    <row r="52" spans="1:8" ht="15.75">
      <c r="A52" s="23" t="s">
        <v>67</v>
      </c>
      <c r="B52" s="24" t="s">
        <v>17</v>
      </c>
      <c r="C52" s="51"/>
      <c r="D52" s="51"/>
      <c r="E52" s="51"/>
      <c r="F52" s="52"/>
      <c r="G52" s="52"/>
      <c r="H52" s="53"/>
    </row>
    <row r="53" spans="1:8" ht="15.75">
      <c r="A53" s="25" t="s">
        <v>68</v>
      </c>
      <c r="B53" s="169" t="s">
        <v>69</v>
      </c>
      <c r="C53" s="170"/>
      <c r="D53" s="170"/>
      <c r="E53" s="170"/>
      <c r="F53" s="170"/>
      <c r="G53" s="170"/>
      <c r="H53" s="170"/>
    </row>
    <row r="54" spans="1:8" ht="15.75">
      <c r="A54" s="26" t="s">
        <v>70</v>
      </c>
      <c r="B54" s="169" t="s">
        <v>18</v>
      </c>
      <c r="C54" s="169"/>
      <c r="D54" s="169"/>
      <c r="E54" s="169"/>
      <c r="F54" s="169"/>
      <c r="G54" s="169"/>
      <c r="H54" s="169"/>
    </row>
    <row r="55" spans="1:8" ht="15.75">
      <c r="A55" s="27" t="s">
        <v>19</v>
      </c>
      <c r="B55" s="169" t="s">
        <v>20</v>
      </c>
      <c r="C55" s="169"/>
      <c r="D55" s="169"/>
      <c r="E55" s="169"/>
      <c r="F55" s="169"/>
      <c r="G55" s="169"/>
      <c r="H55" s="169"/>
    </row>
  </sheetData>
  <mergeCells count="20">
    <mergeCell ref="A1:F2"/>
    <mergeCell ref="A10:B10"/>
    <mergeCell ref="E10:H10"/>
    <mergeCell ref="A11:B14"/>
    <mergeCell ref="C11:C14"/>
    <mergeCell ref="E11:H11"/>
    <mergeCell ref="E13:G13"/>
    <mergeCell ref="H13:H14"/>
    <mergeCell ref="D11:D14"/>
    <mergeCell ref="A35:A37"/>
    <mergeCell ref="A38:A42"/>
    <mergeCell ref="A43:A46"/>
    <mergeCell ref="A15:A19"/>
    <mergeCell ref="A20:A26"/>
    <mergeCell ref="A27:A34"/>
    <mergeCell ref="A48:B49"/>
    <mergeCell ref="E49:G49"/>
    <mergeCell ref="B53:H53"/>
    <mergeCell ref="B54:H54"/>
    <mergeCell ref="B55:H55"/>
  </mergeCells>
  <conditionalFormatting sqref="E49:G49">
    <cfRule type="colorScale" priority="5">
      <colorScale>
        <cfvo type="num" val="0.5"/>
        <cfvo type="num" val="0.7"/>
        <cfvo type="num" val="1"/>
        <color rgb="FFFF0000"/>
        <color rgb="FFFFEB84"/>
        <color theme="9" tint="-0.249977111117893"/>
      </colorScale>
    </cfRule>
  </conditionalFormatting>
  <conditionalFormatting sqref="D15:D47">
    <cfRule type="cellIs" dxfId="14" priority="1" operator="equal">
      <formula>0</formula>
    </cfRule>
    <cfRule type="containsText" dxfId="13" priority="2" operator="containsText" text="PORFAVOR MARQUE UNA SOLA OPCION">
      <formula>NOT(ISERROR(SEARCH("PORFAVOR MARQUE UNA SOLA OPCION",D15)))</formula>
    </cfRule>
    <cfRule type="cellIs" dxfId="12" priority="3" operator="greaterThan">
      <formula>0</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30DD-FAED-48E9-B646-7C7EB8BCFC3C}">
  <sheetPr>
    <tabColor rgb="FF92D050"/>
  </sheetPr>
  <dimension ref="A1:H40"/>
  <sheetViews>
    <sheetView topLeftCell="A29" zoomScale="70" zoomScaleNormal="70" workbookViewId="0">
      <selection activeCell="E34" sqref="E34:G34"/>
    </sheetView>
  </sheetViews>
  <sheetFormatPr baseColWidth="10" defaultRowHeight="14.25"/>
  <cols>
    <col min="1" max="1" width="56.125" customWidth="1"/>
    <col min="2" max="2" width="52.25" customWidth="1"/>
    <col min="3" max="3" width="17.375" customWidth="1"/>
    <col min="4" max="4" width="22.875" customWidth="1"/>
    <col min="5" max="5" width="32.375" customWidth="1"/>
    <col min="6" max="6" width="24.75" customWidth="1"/>
    <col min="7" max="7" width="20" customWidth="1"/>
    <col min="8" max="8" width="59" customWidth="1"/>
  </cols>
  <sheetData>
    <row r="1" spans="1:8" ht="14.25" customHeight="1"/>
    <row r="2" spans="1:8">
      <c r="A2" s="179" t="s">
        <v>108</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81"/>
      <c r="C6" s="115"/>
      <c r="D6" s="115"/>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3"/>
      <c r="C11" s="3"/>
      <c r="D11" s="3"/>
      <c r="E11" s="20"/>
      <c r="F11" s="21"/>
      <c r="G11" s="22"/>
    </row>
    <row r="12" spans="1:8">
      <c r="A12" s="4"/>
      <c r="B12" s="5"/>
      <c r="C12" s="5"/>
      <c r="D12" s="5"/>
      <c r="E12" s="8"/>
      <c r="F12" s="9"/>
      <c r="G12" s="7"/>
      <c r="H12" s="18"/>
    </row>
    <row r="13" spans="1:8" ht="15.75">
      <c r="A13" s="195"/>
      <c r="B13" s="176"/>
      <c r="C13" s="68"/>
      <c r="D13" s="68"/>
      <c r="E13" s="208" t="s">
        <v>109</v>
      </c>
      <c r="F13" s="209"/>
      <c r="G13" s="209"/>
      <c r="H13" s="210"/>
    </row>
    <row r="14" spans="1:8" ht="15.6" customHeight="1">
      <c r="A14" s="180" t="s">
        <v>8</v>
      </c>
      <c r="B14" s="211"/>
      <c r="C14" s="180" t="s">
        <v>72</v>
      </c>
      <c r="D14" s="180" t="s">
        <v>73</v>
      </c>
      <c r="E14" s="193"/>
      <c r="F14" s="214"/>
      <c r="G14" s="214"/>
      <c r="H14" s="215"/>
    </row>
    <row r="15" spans="1:8" ht="15">
      <c r="A15" s="181"/>
      <c r="B15" s="212"/>
      <c r="C15" s="181"/>
      <c r="D15" s="181"/>
      <c r="E15" s="16" t="s">
        <v>76</v>
      </c>
      <c r="F15" s="11" t="s">
        <v>77</v>
      </c>
      <c r="G15" s="12" t="s">
        <v>75</v>
      </c>
      <c r="H15" s="12" t="s">
        <v>110</v>
      </c>
    </row>
    <row r="16" spans="1:8">
      <c r="A16" s="181"/>
      <c r="B16" s="212"/>
      <c r="C16" s="181"/>
      <c r="D16" s="181"/>
      <c r="E16" s="177" t="s">
        <v>2</v>
      </c>
      <c r="F16" s="177"/>
      <c r="G16" s="178"/>
      <c r="H16" s="216" t="s">
        <v>0</v>
      </c>
    </row>
    <row r="17" spans="1:8" ht="15">
      <c r="A17" s="182"/>
      <c r="B17" s="213"/>
      <c r="C17" s="182"/>
      <c r="D17" s="182"/>
      <c r="E17" s="17" t="s">
        <v>13</v>
      </c>
      <c r="F17" s="10" t="s">
        <v>5</v>
      </c>
      <c r="G17" s="10" t="s">
        <v>6</v>
      </c>
      <c r="H17" s="217"/>
    </row>
    <row r="18" spans="1:8" ht="105" customHeight="1">
      <c r="A18" s="242" t="s">
        <v>111</v>
      </c>
      <c r="B18" s="116" t="s">
        <v>112</v>
      </c>
      <c r="C18" s="117">
        <v>6.25E-2</v>
      </c>
      <c r="D18" s="70">
        <f t="shared" ref="D18:D33" si="0">IF(COUNTA(E18:G18)&gt;1, "PORFAVOR MARQUE UNA SOLA OPCION", IF(OR(E18&lt;&gt;"", G18&lt;&gt;""), C18, IF(F18&lt;&gt;"", 0, 0)))</f>
        <v>0</v>
      </c>
      <c r="E18" s="118"/>
      <c r="F18" s="118"/>
      <c r="G18" s="118"/>
      <c r="H18" s="118"/>
    </row>
    <row r="19" spans="1:8" ht="59.25" customHeight="1">
      <c r="A19" s="243"/>
      <c r="B19" s="119" t="s">
        <v>113</v>
      </c>
      <c r="C19" s="117">
        <v>6.25E-2</v>
      </c>
      <c r="D19" s="70">
        <f t="shared" si="0"/>
        <v>0</v>
      </c>
      <c r="E19" s="118"/>
      <c r="F19" s="118"/>
      <c r="G19" s="118"/>
      <c r="H19" s="118"/>
    </row>
    <row r="20" spans="1:8" ht="116.25" customHeight="1">
      <c r="A20" s="243"/>
      <c r="B20" s="120" t="s">
        <v>114</v>
      </c>
      <c r="C20" s="117">
        <v>6.25E-2</v>
      </c>
      <c r="D20" s="70">
        <f t="shared" si="0"/>
        <v>0</v>
      </c>
      <c r="E20" s="118"/>
      <c r="F20" s="118"/>
      <c r="G20" s="118"/>
      <c r="H20" s="118"/>
    </row>
    <row r="21" spans="1:8" ht="25.5">
      <c r="A21" s="244"/>
      <c r="B21" s="121" t="s">
        <v>115</v>
      </c>
      <c r="C21" s="117">
        <v>6.25E-2</v>
      </c>
      <c r="D21" s="70">
        <f t="shared" si="0"/>
        <v>0</v>
      </c>
      <c r="E21" s="118"/>
      <c r="F21" s="118"/>
      <c r="G21" s="118"/>
      <c r="H21" s="118"/>
    </row>
    <row r="22" spans="1:8" ht="107.25" customHeight="1">
      <c r="A22" s="242" t="s">
        <v>116</v>
      </c>
      <c r="B22" s="122" t="s">
        <v>117</v>
      </c>
      <c r="C22" s="117">
        <v>6.25E-2</v>
      </c>
      <c r="D22" s="70">
        <f t="shared" si="0"/>
        <v>0</v>
      </c>
      <c r="E22" s="118"/>
      <c r="F22" s="118"/>
      <c r="G22" s="118"/>
      <c r="H22" s="118"/>
    </row>
    <row r="23" spans="1:8" ht="63" customHeight="1">
      <c r="A23" s="243"/>
      <c r="B23" s="123" t="s">
        <v>118</v>
      </c>
      <c r="C23" s="117">
        <v>6.25E-2</v>
      </c>
      <c r="D23" s="70">
        <f t="shared" si="0"/>
        <v>0</v>
      </c>
      <c r="E23" s="118"/>
      <c r="F23" s="118"/>
      <c r="G23" s="118"/>
      <c r="H23" s="118"/>
    </row>
    <row r="24" spans="1:8" ht="91.5" customHeight="1">
      <c r="A24" s="243"/>
      <c r="B24" s="123" t="s">
        <v>119</v>
      </c>
      <c r="C24" s="117">
        <v>6.25E-2</v>
      </c>
      <c r="D24" s="70">
        <f t="shared" si="0"/>
        <v>0</v>
      </c>
      <c r="E24" s="124"/>
      <c r="F24" s="118"/>
      <c r="G24" s="118"/>
      <c r="H24" s="118"/>
    </row>
    <row r="25" spans="1:8" ht="70.5" customHeight="1">
      <c r="A25" s="244"/>
      <c r="B25" s="123" t="s">
        <v>120</v>
      </c>
      <c r="C25" s="117">
        <v>6.25E-2</v>
      </c>
      <c r="D25" s="70">
        <f t="shared" si="0"/>
        <v>0</v>
      </c>
      <c r="E25" s="124"/>
      <c r="F25" s="118"/>
      <c r="G25" s="118"/>
      <c r="H25" s="118"/>
    </row>
    <row r="26" spans="1:8" ht="65.25" customHeight="1">
      <c r="A26" s="125" t="s">
        <v>121</v>
      </c>
      <c r="B26" s="123" t="s">
        <v>122</v>
      </c>
      <c r="C26" s="126">
        <v>0.25</v>
      </c>
      <c r="D26" s="70">
        <f t="shared" si="0"/>
        <v>0</v>
      </c>
      <c r="E26" s="124"/>
      <c r="F26" s="118"/>
      <c r="G26" s="118"/>
      <c r="H26" s="118"/>
    </row>
    <row r="27" spans="1:8" ht="40.5" customHeight="1">
      <c r="A27" s="245" t="s">
        <v>123</v>
      </c>
      <c r="B27" s="127" t="s">
        <v>124</v>
      </c>
      <c r="C27" s="128">
        <v>4.1666599999999998E-2</v>
      </c>
      <c r="D27" s="70">
        <f t="shared" si="0"/>
        <v>0</v>
      </c>
      <c r="E27" s="2"/>
      <c r="F27" s="1"/>
      <c r="G27" s="18"/>
      <c r="H27" s="129"/>
    </row>
    <row r="28" spans="1:8" ht="81" customHeight="1">
      <c r="A28" s="245"/>
      <c r="B28" s="130" t="s">
        <v>125</v>
      </c>
      <c r="C28" s="128">
        <v>4.1666599999999998E-2</v>
      </c>
      <c r="D28" s="70">
        <f t="shared" si="0"/>
        <v>0</v>
      </c>
      <c r="E28" s="1"/>
      <c r="F28" s="1"/>
      <c r="G28" s="18"/>
      <c r="H28" s="131"/>
    </row>
    <row r="29" spans="1:8" ht="65.25" customHeight="1">
      <c r="A29" s="245"/>
      <c r="B29" s="130" t="s">
        <v>126</v>
      </c>
      <c r="C29" s="128">
        <v>4.1666599999999998E-2</v>
      </c>
      <c r="D29" s="70">
        <f t="shared" si="0"/>
        <v>0</v>
      </c>
      <c r="E29" s="1"/>
      <c r="F29" s="1"/>
      <c r="G29" s="18"/>
      <c r="H29" s="129"/>
    </row>
    <row r="30" spans="1:8" ht="50.25" customHeight="1">
      <c r="A30" s="245"/>
      <c r="B30" s="130" t="s">
        <v>127</v>
      </c>
      <c r="C30" s="128">
        <v>4.1666599999999998E-2</v>
      </c>
      <c r="D30" s="70">
        <f t="shared" si="0"/>
        <v>0</v>
      </c>
      <c r="E30" s="1"/>
      <c r="F30" s="1"/>
      <c r="G30" s="18"/>
      <c r="H30" s="129"/>
    </row>
    <row r="31" spans="1:8" ht="116.25" customHeight="1">
      <c r="A31" s="245"/>
      <c r="B31" s="130" t="s">
        <v>128</v>
      </c>
      <c r="C31" s="128">
        <v>4.1666599999999998E-2</v>
      </c>
      <c r="D31" s="70">
        <f t="shared" si="0"/>
        <v>0</v>
      </c>
      <c r="E31" s="1"/>
      <c r="F31" s="1"/>
      <c r="G31" s="18"/>
      <c r="H31" s="131"/>
    </row>
    <row r="32" spans="1:8" ht="45" customHeight="1">
      <c r="A32" s="246"/>
      <c r="B32" s="130" t="s">
        <v>129</v>
      </c>
      <c r="C32" s="128">
        <v>4.1666599999999998E-2</v>
      </c>
      <c r="D32" s="70">
        <f t="shared" si="0"/>
        <v>0</v>
      </c>
      <c r="E32" s="1"/>
      <c r="F32" s="1"/>
      <c r="G32" s="1"/>
      <c r="H32" s="129"/>
    </row>
    <row r="33" spans="1:8" ht="14.45" customHeight="1">
      <c r="A33" s="247" t="s">
        <v>16</v>
      </c>
      <c r="B33" s="248"/>
      <c r="C33" s="83"/>
      <c r="D33" s="70" t="str">
        <f t="shared" si="0"/>
        <v>PORFAVOR MARQUE UNA SOLA OPCION</v>
      </c>
      <c r="E33" s="133">
        <f>SUM(E18:E32)</f>
        <v>0</v>
      </c>
      <c r="F33" s="133">
        <f>SUM(F18:F32)</f>
        <v>0</v>
      </c>
      <c r="G33" s="133">
        <f>SUM(G18:G32)</f>
        <v>0</v>
      </c>
      <c r="H33" s="50"/>
    </row>
    <row r="34" spans="1:8" s="18" customFormat="1" ht="15">
      <c r="A34" s="249"/>
      <c r="B34" s="250"/>
      <c r="C34" s="83"/>
      <c r="D34" s="132"/>
      <c r="E34" s="197">
        <f>IFERROR((E33/((E33+F33+G33)-G33)),0)</f>
        <v>0</v>
      </c>
      <c r="F34" s="198"/>
      <c r="G34" s="199"/>
      <c r="H34" s="28"/>
    </row>
    <row r="37" spans="1:8" ht="15.75">
      <c r="A37" s="23" t="s">
        <v>67</v>
      </c>
      <c r="B37" s="24" t="s">
        <v>17</v>
      </c>
      <c r="C37" s="51"/>
      <c r="D37" s="51"/>
      <c r="E37" s="51"/>
      <c r="F37" s="52"/>
      <c r="G37" s="52"/>
      <c r="H37" s="53"/>
    </row>
    <row r="38" spans="1:8" ht="15.75">
      <c r="A38" s="25" t="s">
        <v>68</v>
      </c>
      <c r="B38" s="169" t="s">
        <v>69</v>
      </c>
      <c r="C38" s="170"/>
      <c r="D38" s="170"/>
      <c r="E38" s="170"/>
      <c r="F38" s="170"/>
      <c r="G38" s="170"/>
      <c r="H38" s="170"/>
    </row>
    <row r="39" spans="1:8" ht="15.75">
      <c r="A39" s="26" t="s">
        <v>70</v>
      </c>
      <c r="B39" s="169" t="s">
        <v>130</v>
      </c>
      <c r="C39" s="169"/>
      <c r="D39" s="169"/>
      <c r="E39" s="169"/>
      <c r="F39" s="169"/>
      <c r="G39" s="169"/>
      <c r="H39" s="169"/>
    </row>
    <row r="40" spans="1:8" ht="15.75">
      <c r="A40" s="27" t="s">
        <v>19</v>
      </c>
      <c r="B40" s="169" t="s">
        <v>20</v>
      </c>
      <c r="C40" s="169"/>
      <c r="D40" s="169"/>
      <c r="E40" s="169"/>
      <c r="F40" s="169"/>
      <c r="G40" s="169"/>
      <c r="H40" s="169"/>
    </row>
  </sheetData>
  <mergeCells count="17">
    <mergeCell ref="A2:F3"/>
    <mergeCell ref="A13:B13"/>
    <mergeCell ref="E13:H13"/>
    <mergeCell ref="A14:B17"/>
    <mergeCell ref="C14:C17"/>
    <mergeCell ref="D14:D17"/>
    <mergeCell ref="E14:H14"/>
    <mergeCell ref="E16:G16"/>
    <mergeCell ref="H16:H17"/>
    <mergeCell ref="B39:H39"/>
    <mergeCell ref="B40:H40"/>
    <mergeCell ref="A18:A21"/>
    <mergeCell ref="A22:A25"/>
    <mergeCell ref="A27:A32"/>
    <mergeCell ref="A33:B34"/>
    <mergeCell ref="E34:G34"/>
    <mergeCell ref="B38:H38"/>
  </mergeCells>
  <conditionalFormatting sqref="D18:D33">
    <cfRule type="cellIs" dxfId="11" priority="2" operator="equal">
      <formula>0</formula>
    </cfRule>
    <cfRule type="containsText" dxfId="10" priority="3" operator="containsText" text="PORFAVOR MARQUE UNA SOLA OPCION">
      <formula>NOT(ISERROR(SEARCH("PORFAVOR MARQUE UNA SOLA OPCION",D18)))</formula>
    </cfRule>
    <cfRule type="cellIs" dxfId="9" priority="4" operator="greaterThan">
      <formula>0</formula>
    </cfRule>
  </conditionalFormatting>
  <conditionalFormatting sqref="E34:G34">
    <cfRule type="colorScale" priority="1">
      <colorScale>
        <cfvo type="num" val="0.5"/>
        <cfvo type="num" val="0.7"/>
        <cfvo type="num" val="1"/>
        <color rgb="FFFF0000"/>
        <color rgb="FFFFEB84"/>
        <color theme="9" tint="-0.249977111117893"/>
      </colorScale>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52BD-C2FF-41BC-B9F3-CCEC39E4BE54}">
  <dimension ref="A1:H39"/>
  <sheetViews>
    <sheetView topLeftCell="A30" zoomScale="85" zoomScaleNormal="85" workbookViewId="0">
      <selection activeCell="E32" sqref="E32"/>
    </sheetView>
  </sheetViews>
  <sheetFormatPr baseColWidth="10" defaultRowHeight="14.25"/>
  <cols>
    <col min="1" max="1" width="51" customWidth="1"/>
    <col min="2" max="2" width="45.125" customWidth="1"/>
    <col min="3" max="4" width="17.5" customWidth="1"/>
    <col min="5" max="5" width="26.875" customWidth="1"/>
    <col min="6" max="6" width="24.625" customWidth="1"/>
    <col min="7" max="7" width="20" customWidth="1"/>
    <col min="8" max="8" width="43.5" customWidth="1"/>
  </cols>
  <sheetData>
    <row r="1" spans="1:8" ht="14.25" customHeight="1"/>
    <row r="2" spans="1:8">
      <c r="A2" s="179" t="s">
        <v>107</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3"/>
      <c r="C11" s="3"/>
      <c r="D11" s="3"/>
      <c r="E11" s="20"/>
      <c r="F11" s="21"/>
      <c r="G11" s="22"/>
    </row>
    <row r="12" spans="1:8" ht="14.45" customHeight="1">
      <c r="A12" s="4"/>
      <c r="B12" s="67"/>
      <c r="C12" s="255" t="s">
        <v>72</v>
      </c>
      <c r="D12" s="251" t="s">
        <v>73</v>
      </c>
      <c r="E12" s="113"/>
      <c r="F12" s="9"/>
      <c r="G12" s="7"/>
      <c r="H12" s="18"/>
    </row>
    <row r="13" spans="1:8" ht="15.75">
      <c r="A13" s="195"/>
      <c r="B13" s="176"/>
      <c r="C13" s="256"/>
      <c r="D13" s="252"/>
      <c r="E13" s="258" t="s">
        <v>106</v>
      </c>
      <c r="F13" s="209"/>
      <c r="G13" s="209"/>
      <c r="H13" s="210"/>
    </row>
    <row r="14" spans="1:8" ht="15.75">
      <c r="A14" s="180" t="s">
        <v>8</v>
      </c>
      <c r="B14" s="171"/>
      <c r="C14" s="256"/>
      <c r="D14" s="252"/>
      <c r="E14" s="193"/>
      <c r="F14" s="214"/>
      <c r="G14" s="214"/>
      <c r="H14" s="215"/>
    </row>
    <row r="15" spans="1:8" ht="14.45" customHeight="1">
      <c r="A15" s="181"/>
      <c r="B15" s="172"/>
      <c r="C15" s="256"/>
      <c r="D15" s="252"/>
      <c r="E15" s="16" t="s">
        <v>9</v>
      </c>
      <c r="F15" s="11" t="s">
        <v>10</v>
      </c>
      <c r="G15" s="12" t="s">
        <v>11</v>
      </c>
      <c r="H15" s="12" t="s">
        <v>12</v>
      </c>
    </row>
    <row r="16" spans="1:8">
      <c r="A16" s="181"/>
      <c r="B16" s="172"/>
      <c r="C16" s="256"/>
      <c r="D16" s="252"/>
      <c r="E16" s="177" t="s">
        <v>2</v>
      </c>
      <c r="F16" s="177"/>
      <c r="G16" s="178"/>
      <c r="H16" s="216" t="s">
        <v>0</v>
      </c>
    </row>
    <row r="17" spans="1:8" ht="15">
      <c r="A17" s="182"/>
      <c r="B17" s="173"/>
      <c r="C17" s="257"/>
      <c r="D17" s="253"/>
      <c r="E17" s="17" t="s">
        <v>13</v>
      </c>
      <c r="F17" s="10" t="s">
        <v>5</v>
      </c>
      <c r="G17" s="10" t="s">
        <v>6</v>
      </c>
      <c r="H17" s="217"/>
    </row>
    <row r="18" spans="1:8" ht="171" customHeight="1">
      <c r="A18" s="112" t="s">
        <v>105</v>
      </c>
      <c r="B18" s="107" t="s">
        <v>104</v>
      </c>
      <c r="C18" s="88">
        <v>0.2</v>
      </c>
      <c r="D18" s="70">
        <f t="shared" ref="D18:D31" si="0">IF(COUNTA(E18:G18)&gt;1, "PORFAVOR MARQUE UNA SOLA OPCION", IF(OR(E18&lt;&gt;"", G18&lt;&gt;""), C18, IF(F18&lt;&gt;"", 0, 0)))</f>
        <v>0</v>
      </c>
      <c r="E18" s="111"/>
      <c r="F18" s="1"/>
      <c r="G18" s="18"/>
      <c r="H18" s="110"/>
    </row>
    <row r="19" spans="1:8" ht="116.25" customHeight="1">
      <c r="A19" s="109" t="s">
        <v>103</v>
      </c>
      <c r="B19" s="107" t="s">
        <v>102</v>
      </c>
      <c r="C19" s="88">
        <v>0.03</v>
      </c>
      <c r="D19" s="70">
        <f t="shared" si="0"/>
        <v>0</v>
      </c>
      <c r="E19" s="106"/>
      <c r="F19" s="1"/>
      <c r="G19" s="18"/>
      <c r="H19" s="92"/>
    </row>
    <row r="20" spans="1:8" ht="158.25" customHeight="1">
      <c r="A20" s="108" t="s">
        <v>101</v>
      </c>
      <c r="B20" s="107" t="s">
        <v>100</v>
      </c>
      <c r="C20" s="88">
        <v>0.2</v>
      </c>
      <c r="D20" s="70">
        <f t="shared" si="0"/>
        <v>0</v>
      </c>
      <c r="E20" s="106"/>
      <c r="F20" s="1"/>
      <c r="G20" s="18"/>
      <c r="H20" s="92"/>
    </row>
    <row r="21" spans="1:8" ht="147" customHeight="1">
      <c r="A21" s="108" t="s">
        <v>99</v>
      </c>
      <c r="B21" s="107" t="s">
        <v>98</v>
      </c>
      <c r="C21" s="88">
        <v>0.02</v>
      </c>
      <c r="D21" s="70">
        <f t="shared" si="0"/>
        <v>0</v>
      </c>
      <c r="E21" s="106"/>
      <c r="F21" s="1"/>
      <c r="G21" s="18"/>
      <c r="H21" s="85"/>
    </row>
    <row r="22" spans="1:8" ht="263.25" customHeight="1">
      <c r="A22" s="105" t="s">
        <v>97</v>
      </c>
      <c r="B22" s="104" t="s">
        <v>96</v>
      </c>
      <c r="C22" s="88">
        <v>0.02</v>
      </c>
      <c r="D22" s="70">
        <f t="shared" si="0"/>
        <v>0</v>
      </c>
      <c r="E22" s="100"/>
      <c r="F22" s="2"/>
      <c r="G22" s="18"/>
      <c r="H22" s="92"/>
    </row>
    <row r="23" spans="1:8" ht="139.5" customHeight="1">
      <c r="A23" s="96" t="s">
        <v>95</v>
      </c>
      <c r="B23" s="103" t="s">
        <v>94</v>
      </c>
      <c r="C23" s="88">
        <v>0.02</v>
      </c>
      <c r="D23" s="70">
        <f t="shared" si="0"/>
        <v>0</v>
      </c>
      <c r="E23" s="100"/>
      <c r="F23" s="2"/>
      <c r="G23" s="94"/>
      <c r="H23" s="92"/>
    </row>
    <row r="24" spans="1:8" ht="130.5" customHeight="1">
      <c r="A24" s="96" t="s">
        <v>93</v>
      </c>
      <c r="B24" s="102" t="s">
        <v>92</v>
      </c>
      <c r="C24" s="101">
        <v>0.02</v>
      </c>
      <c r="D24" s="70">
        <f t="shared" si="0"/>
        <v>0</v>
      </c>
      <c r="E24" s="100"/>
      <c r="F24" s="2"/>
      <c r="G24" s="18"/>
      <c r="H24" s="92"/>
    </row>
    <row r="25" spans="1:8" ht="143.25" customHeight="1">
      <c r="A25" s="96" t="s">
        <v>91</v>
      </c>
      <c r="B25" s="89" t="s">
        <v>90</v>
      </c>
      <c r="C25" s="99">
        <v>0.03</v>
      </c>
      <c r="D25" s="70">
        <f t="shared" si="0"/>
        <v>0</v>
      </c>
      <c r="E25" s="98"/>
      <c r="F25" s="94"/>
      <c r="G25" s="94"/>
      <c r="H25" s="92"/>
    </row>
    <row r="26" spans="1:8" ht="107.25" customHeight="1">
      <c r="A26" s="96" t="s">
        <v>89</v>
      </c>
      <c r="B26" s="89" t="s">
        <v>88</v>
      </c>
      <c r="C26" s="88">
        <v>0.06</v>
      </c>
      <c r="D26" s="70">
        <f t="shared" si="0"/>
        <v>0</v>
      </c>
      <c r="E26" s="98"/>
      <c r="F26" s="97"/>
      <c r="G26" s="18"/>
      <c r="H26" s="92"/>
    </row>
    <row r="27" spans="1:8" ht="126.75" customHeight="1">
      <c r="A27" s="96" t="s">
        <v>87</v>
      </c>
      <c r="B27" s="89" t="s">
        <v>86</v>
      </c>
      <c r="C27" s="88">
        <v>0.06</v>
      </c>
      <c r="D27" s="70">
        <f t="shared" si="0"/>
        <v>0</v>
      </c>
      <c r="E27" s="87"/>
      <c r="F27" s="94"/>
      <c r="G27" s="18"/>
      <c r="H27" s="92"/>
    </row>
    <row r="28" spans="1:8" ht="126.75" customHeight="1">
      <c r="A28" s="95" t="s">
        <v>85</v>
      </c>
      <c r="B28" s="89" t="s">
        <v>84</v>
      </c>
      <c r="C28" s="88">
        <v>0.15</v>
      </c>
      <c r="D28" s="70">
        <f t="shared" si="0"/>
        <v>0</v>
      </c>
      <c r="E28" s="87"/>
      <c r="F28" s="94"/>
      <c r="G28" s="18"/>
      <c r="H28" s="92"/>
    </row>
    <row r="29" spans="1:8" ht="123" customHeight="1">
      <c r="A29" s="93" t="s">
        <v>83</v>
      </c>
      <c r="B29" s="89" t="s">
        <v>82</v>
      </c>
      <c r="C29" s="88">
        <v>0.15</v>
      </c>
      <c r="D29" s="70">
        <f t="shared" si="0"/>
        <v>0</v>
      </c>
      <c r="E29" s="87"/>
      <c r="F29" s="79"/>
      <c r="G29" s="18"/>
      <c r="H29" s="92"/>
    </row>
    <row r="30" spans="1:8" ht="252.75" customHeight="1">
      <c r="A30" s="90" t="s">
        <v>81</v>
      </c>
      <c r="B30" s="89" t="s">
        <v>80</v>
      </c>
      <c r="C30" s="88">
        <v>0.02</v>
      </c>
      <c r="D30" s="70">
        <f t="shared" si="0"/>
        <v>0</v>
      </c>
      <c r="E30" s="87"/>
      <c r="F30" s="79"/>
      <c r="G30" s="18"/>
      <c r="H30" s="91"/>
    </row>
    <row r="31" spans="1:8" ht="86.25" customHeight="1">
      <c r="A31" s="90" t="s">
        <v>79</v>
      </c>
      <c r="B31" s="89" t="s">
        <v>78</v>
      </c>
      <c r="C31" s="88">
        <v>0.02</v>
      </c>
      <c r="D31" s="70">
        <f t="shared" si="0"/>
        <v>0</v>
      </c>
      <c r="E31" s="87"/>
      <c r="F31" s="86"/>
      <c r="G31" s="18"/>
      <c r="H31" s="85"/>
    </row>
    <row r="32" spans="1:8" ht="15">
      <c r="A32" s="190" t="s">
        <v>16</v>
      </c>
      <c r="B32" s="187"/>
      <c r="C32" s="83"/>
      <c r="D32" s="82"/>
      <c r="E32" s="84">
        <f>COUNT(E18:E31)</f>
        <v>0</v>
      </c>
      <c r="F32" s="49">
        <f>COUNT(F18:F31)</f>
        <v>0</v>
      </c>
      <c r="G32" s="49">
        <f>COUNT(G18:G31)</f>
        <v>0</v>
      </c>
      <c r="H32" s="50"/>
    </row>
    <row r="33" spans="1:8" s="18" customFormat="1" ht="15">
      <c r="A33" s="200"/>
      <c r="B33" s="254"/>
      <c r="C33" s="83"/>
      <c r="D33" s="114"/>
      <c r="E33" s="198">
        <f>IFERROR((E32/((E32+F32+G32)-G32)),0)</f>
        <v>0</v>
      </c>
      <c r="F33" s="198"/>
      <c r="G33" s="199"/>
      <c r="H33" s="28"/>
    </row>
    <row r="36" spans="1:8" ht="15.75">
      <c r="A36" s="23" t="s">
        <v>67</v>
      </c>
      <c r="B36" s="24" t="s">
        <v>17</v>
      </c>
      <c r="C36" s="51"/>
      <c r="D36" s="51"/>
      <c r="E36" s="51"/>
      <c r="F36" s="52"/>
      <c r="G36" s="52"/>
      <c r="H36" s="53"/>
    </row>
    <row r="37" spans="1:8" ht="15.75">
      <c r="A37" s="25" t="s">
        <v>68</v>
      </c>
      <c r="B37" s="169" t="s">
        <v>69</v>
      </c>
      <c r="C37" s="170"/>
      <c r="D37" s="170"/>
      <c r="E37" s="170"/>
      <c r="F37" s="170"/>
      <c r="G37" s="170"/>
      <c r="H37" s="170"/>
    </row>
    <row r="38" spans="1:8" ht="15.75">
      <c r="A38" s="26" t="s">
        <v>70</v>
      </c>
      <c r="B38" s="169" t="s">
        <v>18</v>
      </c>
      <c r="C38" s="169"/>
      <c r="D38" s="169"/>
      <c r="E38" s="169"/>
      <c r="F38" s="169"/>
      <c r="G38" s="169"/>
      <c r="H38" s="169"/>
    </row>
    <row r="39" spans="1:8" ht="15.75">
      <c r="A39" s="27" t="s">
        <v>19</v>
      </c>
      <c r="B39" s="169" t="s">
        <v>20</v>
      </c>
      <c r="C39" s="169"/>
      <c r="D39" s="169"/>
      <c r="E39" s="169"/>
      <c r="F39" s="169"/>
      <c r="G39" s="169"/>
      <c r="H39" s="169"/>
    </row>
  </sheetData>
  <mergeCells count="14">
    <mergeCell ref="B37:H37"/>
    <mergeCell ref="B38:H38"/>
    <mergeCell ref="B39:H39"/>
    <mergeCell ref="A2:F3"/>
    <mergeCell ref="C12:C17"/>
    <mergeCell ref="A13:B13"/>
    <mergeCell ref="E13:H13"/>
    <mergeCell ref="A14:B17"/>
    <mergeCell ref="E14:H14"/>
    <mergeCell ref="E16:G16"/>
    <mergeCell ref="H16:H17"/>
    <mergeCell ref="D12:D17"/>
    <mergeCell ref="A32:B33"/>
    <mergeCell ref="E33:G33"/>
  </mergeCells>
  <conditionalFormatting sqref="E33:G33">
    <cfRule type="colorScale" priority="5">
      <colorScale>
        <cfvo type="num" val="0.5"/>
        <cfvo type="num" val="0.7"/>
        <cfvo type="num" val="1"/>
        <color rgb="FFFF0000"/>
        <color rgb="FFFFEB84"/>
        <color theme="9" tint="-0.249977111117893"/>
      </colorScale>
    </cfRule>
  </conditionalFormatting>
  <conditionalFormatting sqref="D18:D31">
    <cfRule type="cellIs" dxfId="8" priority="1" operator="equal">
      <formula>0</formula>
    </cfRule>
    <cfRule type="containsText" dxfId="7" priority="2" operator="containsText" text="PORFAVOR MARQUE UNA SOLA OPCION">
      <formula>NOT(ISERROR(SEARCH("PORFAVOR MARQUE UNA SOLA OPCION",D18)))</formula>
    </cfRule>
    <cfRule type="cellIs" dxfId="6" priority="3" operator="greaterThan">
      <formula>0</formula>
    </cfRule>
  </conditionalFormatting>
  <pageMargins left="0.7" right="0.7" top="0.75" bottom="0.75" header="0.3" footer="0.3"/>
  <pageSetup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9DBFF-BB0E-4764-B765-8C23CB350DDE}">
  <dimension ref="A1:H50"/>
  <sheetViews>
    <sheetView tabSelected="1" zoomScale="70" zoomScaleNormal="70" workbookViewId="0">
      <selection activeCell="E43" sqref="E43:G44"/>
    </sheetView>
  </sheetViews>
  <sheetFormatPr baseColWidth="10" defaultRowHeight="14.25"/>
  <cols>
    <col min="1" max="1" width="99.875" customWidth="1"/>
    <col min="2" max="2" width="76.625" customWidth="1"/>
    <col min="3" max="3" width="27.375" bestFit="1" customWidth="1"/>
    <col min="4" max="4" width="32.125" bestFit="1" customWidth="1"/>
    <col min="5" max="5" width="31.5" style="60" customWidth="1"/>
    <col min="6" max="6" width="24.625" customWidth="1"/>
    <col min="7" max="7" width="20" customWidth="1"/>
    <col min="8" max="8" width="20.625" customWidth="1"/>
  </cols>
  <sheetData>
    <row r="1" spans="1:8" ht="14.25" customHeight="1"/>
    <row r="2" spans="1:8">
      <c r="A2" s="179" t="s">
        <v>14</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3"/>
      <c r="C11" s="3"/>
      <c r="D11" s="3"/>
      <c r="E11" s="20"/>
      <c r="F11" s="21"/>
      <c r="G11" s="22"/>
    </row>
    <row r="12" spans="1:8">
      <c r="A12" s="4"/>
      <c r="B12" s="5"/>
      <c r="C12" s="5"/>
      <c r="D12" s="5"/>
      <c r="E12" s="8"/>
      <c r="F12" s="9"/>
      <c r="G12" s="7"/>
      <c r="H12" s="18"/>
    </row>
    <row r="13" spans="1:8" ht="15.75">
      <c r="A13" s="195"/>
      <c r="B13" s="176"/>
      <c r="C13" s="68"/>
      <c r="D13" s="68"/>
      <c r="E13" s="208" t="s">
        <v>15</v>
      </c>
      <c r="F13" s="209"/>
      <c r="G13" s="209"/>
      <c r="H13" s="210"/>
    </row>
    <row r="14" spans="1:8" ht="15.75">
      <c r="A14" s="180" t="s">
        <v>8</v>
      </c>
      <c r="B14" s="211"/>
      <c r="C14" s="259" t="s">
        <v>72</v>
      </c>
      <c r="D14" s="262" t="s">
        <v>73</v>
      </c>
      <c r="E14" s="193"/>
      <c r="F14" s="214"/>
      <c r="G14" s="214"/>
      <c r="H14" s="215"/>
    </row>
    <row r="15" spans="1:8" ht="15">
      <c r="A15" s="181"/>
      <c r="B15" s="212"/>
      <c r="C15" s="260"/>
      <c r="D15" s="263"/>
      <c r="E15" s="16" t="s">
        <v>9</v>
      </c>
      <c r="F15" s="11" t="s">
        <v>10</v>
      </c>
      <c r="G15" s="12" t="s">
        <v>11</v>
      </c>
      <c r="H15" s="12" t="s">
        <v>12</v>
      </c>
    </row>
    <row r="16" spans="1:8">
      <c r="A16" s="181"/>
      <c r="B16" s="212"/>
      <c r="C16" s="260"/>
      <c r="D16" s="263"/>
      <c r="E16" s="177" t="s">
        <v>2</v>
      </c>
      <c r="F16" s="177"/>
      <c r="G16" s="178"/>
      <c r="H16" s="216" t="s">
        <v>0</v>
      </c>
    </row>
    <row r="17" spans="1:8" ht="15">
      <c r="A17" s="181"/>
      <c r="B17" s="213"/>
      <c r="C17" s="261"/>
      <c r="D17" s="264"/>
      <c r="E17" s="17" t="s">
        <v>13</v>
      </c>
      <c r="F17" s="10" t="s">
        <v>5</v>
      </c>
      <c r="G17" s="10" t="s">
        <v>6</v>
      </c>
      <c r="H17" s="217"/>
    </row>
    <row r="18" spans="1:8" ht="38.25">
      <c r="A18" s="54"/>
      <c r="B18" s="31" t="s">
        <v>28</v>
      </c>
      <c r="C18" s="61">
        <v>0.04</v>
      </c>
      <c r="D18" s="70">
        <f t="shared" ref="D18:D42" si="0">IF(COUNTA(E18:G18)&gt;1, "PORFAVOR MARQUE UNA SOLA OPCION", IF(OR(E18&lt;&gt;"", G18&lt;&gt;""), C18, IF(F18&lt;&gt;"", 0, 0)))</f>
        <v>0</v>
      </c>
      <c r="E18" s="72"/>
      <c r="F18" s="1"/>
      <c r="G18" s="18"/>
      <c r="H18" s="18"/>
    </row>
    <row r="19" spans="1:8" ht="15">
      <c r="A19" s="55"/>
      <c r="B19" s="32" t="s">
        <v>22</v>
      </c>
      <c r="C19" s="56">
        <v>0.03</v>
      </c>
      <c r="D19" s="70">
        <f t="shared" si="0"/>
        <v>0</v>
      </c>
      <c r="E19" s="72"/>
      <c r="F19" s="1"/>
      <c r="G19" s="18"/>
      <c r="H19" s="18"/>
    </row>
    <row r="20" spans="1:8" ht="51">
      <c r="A20" s="55"/>
      <c r="B20" s="32" t="s">
        <v>23</v>
      </c>
      <c r="C20" s="56">
        <v>0.04</v>
      </c>
      <c r="D20" s="70">
        <f t="shared" si="0"/>
        <v>0</v>
      </c>
      <c r="E20" s="72"/>
      <c r="F20" s="1"/>
      <c r="G20" s="18"/>
      <c r="H20" s="18"/>
    </row>
    <row r="21" spans="1:8" ht="15">
      <c r="A21" s="55"/>
      <c r="B21" s="33" t="s">
        <v>24</v>
      </c>
      <c r="C21" s="56">
        <v>0.02</v>
      </c>
      <c r="D21" s="70">
        <f t="shared" si="0"/>
        <v>0</v>
      </c>
      <c r="E21" s="72"/>
      <c r="F21" s="1"/>
      <c r="G21" s="18"/>
      <c r="H21" s="18"/>
    </row>
    <row r="22" spans="1:8" ht="30">
      <c r="A22" s="44" t="s">
        <v>21</v>
      </c>
      <c r="B22" s="34" t="s">
        <v>25</v>
      </c>
      <c r="C22" s="56">
        <v>0.04</v>
      </c>
      <c r="D22" s="70">
        <f t="shared" si="0"/>
        <v>0</v>
      </c>
      <c r="E22" s="72"/>
      <c r="F22" s="1"/>
      <c r="G22" s="18"/>
      <c r="H22" s="18"/>
    </row>
    <row r="23" spans="1:8" ht="65.25" customHeight="1">
      <c r="A23" s="55"/>
      <c r="B23" s="34" t="s">
        <v>29</v>
      </c>
      <c r="C23" s="56">
        <v>0.05</v>
      </c>
      <c r="D23" s="70">
        <f t="shared" si="0"/>
        <v>0</v>
      </c>
      <c r="E23" s="72"/>
      <c r="F23" s="1"/>
      <c r="G23" s="18"/>
      <c r="H23" s="18"/>
    </row>
    <row r="24" spans="1:8" ht="25.5">
      <c r="A24" s="29"/>
      <c r="B24" s="35" t="s">
        <v>26</v>
      </c>
      <c r="C24" s="56">
        <v>0.04</v>
      </c>
      <c r="D24" s="70">
        <f t="shared" si="0"/>
        <v>0</v>
      </c>
      <c r="E24" s="72"/>
      <c r="F24" s="1"/>
      <c r="G24" s="18"/>
      <c r="H24" s="18"/>
    </row>
    <row r="25" spans="1:8" ht="32.25" customHeight="1">
      <c r="A25" s="30"/>
      <c r="B25" s="35" t="s">
        <v>27</v>
      </c>
      <c r="C25" s="56">
        <v>0.04</v>
      </c>
      <c r="D25" s="70">
        <f t="shared" si="0"/>
        <v>0</v>
      </c>
      <c r="E25" s="72"/>
      <c r="F25" s="1"/>
      <c r="G25" s="18"/>
      <c r="H25" s="18"/>
    </row>
    <row r="26" spans="1:8" ht="102" customHeight="1">
      <c r="A26" s="219" t="s">
        <v>30</v>
      </c>
      <c r="B26" s="36" t="s">
        <v>31</v>
      </c>
      <c r="C26" s="57">
        <v>0.04</v>
      </c>
      <c r="D26" s="70">
        <f t="shared" si="0"/>
        <v>0</v>
      </c>
      <c r="E26" s="72"/>
      <c r="F26" s="2"/>
      <c r="G26" s="18"/>
      <c r="H26" s="18"/>
    </row>
    <row r="27" spans="1:8" ht="24.75" customHeight="1">
      <c r="A27" s="219"/>
      <c r="B27" s="36" t="s">
        <v>32</v>
      </c>
      <c r="C27" s="57">
        <v>0.04</v>
      </c>
      <c r="D27" s="70">
        <f t="shared" si="0"/>
        <v>0</v>
      </c>
      <c r="E27" s="72"/>
      <c r="F27" s="2"/>
      <c r="G27" s="18"/>
      <c r="H27" s="18"/>
    </row>
    <row r="28" spans="1:8" ht="72.75" customHeight="1">
      <c r="A28" s="218" t="s">
        <v>33</v>
      </c>
      <c r="B28" s="37" t="s">
        <v>34</v>
      </c>
      <c r="C28" s="57">
        <v>0.05</v>
      </c>
      <c r="D28" s="70">
        <f t="shared" si="0"/>
        <v>0</v>
      </c>
      <c r="E28" s="72"/>
      <c r="F28" s="2"/>
      <c r="G28" s="18"/>
      <c r="H28" s="18"/>
    </row>
    <row r="29" spans="1:8" ht="30.75" customHeight="1">
      <c r="A29" s="219"/>
      <c r="B29" s="37" t="s">
        <v>35</v>
      </c>
      <c r="C29" s="57">
        <v>0.04</v>
      </c>
      <c r="D29" s="70">
        <f t="shared" si="0"/>
        <v>0</v>
      </c>
      <c r="E29" s="72"/>
      <c r="F29" s="2"/>
      <c r="G29" s="18"/>
      <c r="H29" s="18"/>
    </row>
    <row r="30" spans="1:8" ht="15">
      <c r="A30" s="219"/>
      <c r="B30" s="38" t="s">
        <v>36</v>
      </c>
      <c r="C30" s="57">
        <v>0.04</v>
      </c>
      <c r="D30" s="70">
        <f t="shared" si="0"/>
        <v>0</v>
      </c>
      <c r="E30" s="72"/>
      <c r="F30" s="2"/>
      <c r="G30" s="18"/>
      <c r="H30" s="18"/>
    </row>
    <row r="31" spans="1:8" ht="34.5" customHeight="1">
      <c r="A31" s="219"/>
      <c r="B31" s="37" t="s">
        <v>37</v>
      </c>
      <c r="C31" s="57">
        <v>0.04</v>
      </c>
      <c r="D31" s="70">
        <f t="shared" si="0"/>
        <v>0</v>
      </c>
      <c r="E31" s="72"/>
      <c r="F31" s="2"/>
      <c r="G31" s="18"/>
      <c r="H31" s="18"/>
    </row>
    <row r="32" spans="1:8" ht="15">
      <c r="A32" s="218" t="s">
        <v>38</v>
      </c>
      <c r="B32" s="39" t="s">
        <v>39</v>
      </c>
      <c r="C32" s="57">
        <v>0.04</v>
      </c>
      <c r="D32" s="70">
        <f t="shared" si="0"/>
        <v>0</v>
      </c>
      <c r="E32" s="72"/>
      <c r="F32" s="2"/>
      <c r="G32" s="18"/>
      <c r="H32" s="18"/>
    </row>
    <row r="33" spans="1:8" ht="15">
      <c r="A33" s="219"/>
      <c r="B33" s="40" t="s">
        <v>40</v>
      </c>
      <c r="C33" s="57">
        <v>0.04</v>
      </c>
      <c r="D33" s="70">
        <f t="shared" si="0"/>
        <v>0</v>
      </c>
      <c r="E33" s="72"/>
      <c r="F33" s="2"/>
      <c r="G33" s="18"/>
      <c r="H33" s="18"/>
    </row>
    <row r="34" spans="1:8" ht="15">
      <c r="A34" s="219"/>
      <c r="B34" s="40" t="s">
        <v>41</v>
      </c>
      <c r="C34" s="57">
        <v>0.04</v>
      </c>
      <c r="D34" s="70">
        <f t="shared" si="0"/>
        <v>0</v>
      </c>
      <c r="E34" s="72"/>
      <c r="F34" s="2"/>
      <c r="G34" s="18"/>
      <c r="H34" s="18"/>
    </row>
    <row r="35" spans="1:8" ht="15">
      <c r="A35" s="219"/>
      <c r="B35" s="40" t="s">
        <v>42</v>
      </c>
      <c r="C35" s="57">
        <v>0.04</v>
      </c>
      <c r="D35" s="70">
        <f t="shared" si="0"/>
        <v>0</v>
      </c>
      <c r="E35" s="72"/>
      <c r="F35" s="2"/>
      <c r="G35" s="18"/>
      <c r="H35" s="18"/>
    </row>
    <row r="36" spans="1:8" ht="15">
      <c r="A36" s="224"/>
      <c r="B36" s="41" t="s">
        <v>43</v>
      </c>
      <c r="C36" s="56">
        <v>0.04</v>
      </c>
      <c r="D36" s="70">
        <f t="shared" si="0"/>
        <v>0</v>
      </c>
      <c r="E36" s="71"/>
      <c r="F36" s="1"/>
      <c r="G36" s="18"/>
      <c r="H36" s="18"/>
    </row>
    <row r="37" spans="1:8" ht="25.5">
      <c r="A37" s="204" t="s">
        <v>44</v>
      </c>
      <c r="B37" s="42" t="s">
        <v>45</v>
      </c>
      <c r="C37" s="58">
        <v>0.04</v>
      </c>
      <c r="D37" s="70">
        <f t="shared" si="0"/>
        <v>0</v>
      </c>
      <c r="E37" s="73"/>
      <c r="F37" s="74"/>
      <c r="G37" s="18"/>
      <c r="H37" s="18"/>
    </row>
    <row r="38" spans="1:8" ht="25.5">
      <c r="A38" s="204"/>
      <c r="B38" s="42" t="s">
        <v>71</v>
      </c>
      <c r="C38" s="59">
        <v>0.05</v>
      </c>
      <c r="D38" s="70">
        <f t="shared" si="0"/>
        <v>0</v>
      </c>
      <c r="E38" s="75"/>
      <c r="F38" s="66"/>
      <c r="G38" s="18"/>
      <c r="H38" s="18"/>
    </row>
    <row r="39" spans="1:8" ht="114.75">
      <c r="A39" s="183" t="s">
        <v>46</v>
      </c>
      <c r="B39" s="43" t="s">
        <v>47</v>
      </c>
      <c r="C39" s="62">
        <v>0.04</v>
      </c>
      <c r="D39" s="70">
        <f t="shared" si="0"/>
        <v>0</v>
      </c>
      <c r="E39" s="76"/>
      <c r="F39" s="18"/>
      <c r="G39" s="18"/>
      <c r="H39" s="18"/>
    </row>
    <row r="40" spans="1:8" ht="15">
      <c r="A40" s="183"/>
      <c r="B40" s="43" t="s">
        <v>48</v>
      </c>
      <c r="C40" s="62">
        <v>0.04</v>
      </c>
      <c r="D40" s="70">
        <f t="shared" si="0"/>
        <v>0</v>
      </c>
      <c r="E40" s="76"/>
      <c r="F40" s="18"/>
      <c r="G40" s="18"/>
      <c r="H40" s="18"/>
    </row>
    <row r="41" spans="1:8" ht="15">
      <c r="A41" s="183"/>
      <c r="B41" s="43" t="s">
        <v>49</v>
      </c>
      <c r="C41" s="62">
        <v>0.04</v>
      </c>
      <c r="D41" s="70">
        <f t="shared" si="0"/>
        <v>0</v>
      </c>
      <c r="E41" s="76"/>
      <c r="F41" s="18"/>
      <c r="G41" s="18"/>
      <c r="H41" s="18"/>
    </row>
    <row r="42" spans="1:8" ht="15">
      <c r="A42" s="183"/>
      <c r="B42" s="43" t="s">
        <v>50</v>
      </c>
      <c r="C42" s="62">
        <v>0.04</v>
      </c>
      <c r="D42" s="70">
        <f t="shared" si="0"/>
        <v>0</v>
      </c>
      <c r="E42" s="76"/>
      <c r="F42" s="18"/>
      <c r="G42" s="18"/>
      <c r="H42" s="18"/>
    </row>
    <row r="43" spans="1:8" ht="15">
      <c r="A43" s="190" t="s">
        <v>16</v>
      </c>
      <c r="B43" s="188"/>
      <c r="C43" s="64">
        <f>SUM(C18:C42)</f>
        <v>1.0000000000000002</v>
      </c>
      <c r="D43" s="77">
        <f>SUM(D18:D42)</f>
        <v>0</v>
      </c>
      <c r="E43" s="49">
        <f>COUNT(#REF!)</f>
        <v>0</v>
      </c>
      <c r="F43" s="49">
        <f>COUNT(#REF!)</f>
        <v>0</v>
      </c>
      <c r="G43" s="49">
        <f>COUNT(#REF!)</f>
        <v>0</v>
      </c>
      <c r="H43" s="50"/>
    </row>
    <row r="44" spans="1:8" s="18" customFormat="1" ht="15">
      <c r="A44" s="200"/>
      <c r="B44" s="201"/>
      <c r="C44" s="69"/>
      <c r="D44" s="69"/>
      <c r="E44" s="184">
        <f>IFERROR((E43/((E43+F43+G43)-G43)),0)</f>
        <v>0</v>
      </c>
      <c r="F44" s="185"/>
      <c r="G44" s="186"/>
      <c r="H44" s="28"/>
    </row>
    <row r="47" spans="1:8" ht="15.75">
      <c r="A47" s="23" t="s">
        <v>67</v>
      </c>
      <c r="B47" s="24" t="s">
        <v>17</v>
      </c>
      <c r="C47" s="51"/>
      <c r="D47" s="51"/>
      <c r="E47" s="63"/>
      <c r="F47" s="52"/>
      <c r="G47" s="52"/>
      <c r="H47" s="53"/>
    </row>
    <row r="48" spans="1:8" ht="15.75">
      <c r="A48" s="25" t="s">
        <v>68</v>
      </c>
      <c r="B48" s="169" t="s">
        <v>69</v>
      </c>
      <c r="C48" s="170"/>
      <c r="D48" s="170"/>
      <c r="E48" s="170"/>
      <c r="F48" s="170"/>
      <c r="G48" s="170"/>
      <c r="H48" s="170"/>
    </row>
    <row r="49" spans="1:8" ht="15.75">
      <c r="A49" s="26" t="s">
        <v>70</v>
      </c>
      <c r="B49" s="169" t="s">
        <v>18</v>
      </c>
      <c r="C49" s="169"/>
      <c r="D49" s="169"/>
      <c r="E49" s="169"/>
      <c r="F49" s="169"/>
      <c r="G49" s="169"/>
      <c r="H49" s="169"/>
    </row>
    <row r="50" spans="1:8" ht="15.75">
      <c r="A50" s="27" t="s">
        <v>74</v>
      </c>
      <c r="B50" s="169" t="s">
        <v>20</v>
      </c>
      <c r="C50" s="169"/>
      <c r="D50" s="169"/>
      <c r="E50" s="169"/>
      <c r="F50" s="169"/>
      <c r="G50" s="169"/>
      <c r="H50" s="169"/>
    </row>
  </sheetData>
  <mergeCells count="19">
    <mergeCell ref="A37:A38"/>
    <mergeCell ref="A26:A27"/>
    <mergeCell ref="A28:A31"/>
    <mergeCell ref="A32:A36"/>
    <mergeCell ref="A39:A42"/>
    <mergeCell ref="A2:F3"/>
    <mergeCell ref="A13:B13"/>
    <mergeCell ref="E13:H13"/>
    <mergeCell ref="A14:B17"/>
    <mergeCell ref="E14:H14"/>
    <mergeCell ref="E16:G16"/>
    <mergeCell ref="H16:H17"/>
    <mergeCell ref="C14:C17"/>
    <mergeCell ref="D14:D17"/>
    <mergeCell ref="A43:B44"/>
    <mergeCell ref="E44:G44"/>
    <mergeCell ref="B48:H48"/>
    <mergeCell ref="B49:H49"/>
    <mergeCell ref="B50:H50"/>
  </mergeCells>
  <conditionalFormatting sqref="D18:D42">
    <cfRule type="cellIs" dxfId="5" priority="2" operator="equal">
      <formula>0</formula>
    </cfRule>
    <cfRule type="containsText" dxfId="4" priority="3" operator="containsText" text="PORFAVOR MARQUE UNA SOLA OPCION">
      <formula>NOT(ISERROR(SEARCH("PORFAVOR MARQUE UNA SOLA OPCION",D18)))</formula>
    </cfRule>
    <cfRule type="cellIs" dxfId="3" priority="4" operator="greaterThan">
      <formula>0</formula>
    </cfRule>
  </conditionalFormatting>
  <conditionalFormatting sqref="E44:G44">
    <cfRule type="colorScale" priority="1">
      <colorScale>
        <cfvo type="num" val="0.5"/>
        <cfvo type="num" val="0.7"/>
        <cfvo type="num" val="1"/>
        <color rgb="FFFF0000"/>
        <color rgb="FFFFEB84"/>
        <color theme="9" tint="-0.249977111117893"/>
      </colorScale>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54A9-B77E-45ED-A34E-2F2E3433AD41}">
  <dimension ref="A1:H37"/>
  <sheetViews>
    <sheetView topLeftCell="B24" zoomScale="76" zoomScaleNormal="91" workbookViewId="0">
      <selection activeCell="E31" sqref="E31:G31"/>
    </sheetView>
  </sheetViews>
  <sheetFormatPr baseColWidth="10" defaultRowHeight="14.25"/>
  <cols>
    <col min="1" max="1" width="65.375" customWidth="1"/>
    <col min="2" max="2" width="76.625" customWidth="1"/>
    <col min="3" max="3" width="35.125" customWidth="1"/>
    <col min="4" max="4" width="45.375" customWidth="1"/>
    <col min="5" max="5" width="31.5" customWidth="1"/>
    <col min="6" max="6" width="24.625" customWidth="1"/>
    <col min="7" max="7" width="20" customWidth="1"/>
    <col min="8" max="8" width="43.125" customWidth="1"/>
  </cols>
  <sheetData>
    <row r="1" spans="1:8" ht="14.25" customHeight="1"/>
    <row r="2" spans="1:8">
      <c r="A2" s="179" t="s">
        <v>51</v>
      </c>
      <c r="B2" s="179"/>
      <c r="C2" s="179"/>
      <c r="D2" s="179"/>
      <c r="E2" s="179"/>
      <c r="F2" s="179"/>
    </row>
    <row r="3" spans="1:8">
      <c r="A3" s="179"/>
      <c r="B3" s="179"/>
      <c r="C3" s="179"/>
      <c r="D3" s="179"/>
      <c r="E3" s="179"/>
      <c r="F3" s="179"/>
    </row>
    <row r="4" spans="1:8">
      <c r="B4" s="3"/>
      <c r="C4" s="3"/>
      <c r="D4" s="3"/>
    </row>
    <row r="5" spans="1:8">
      <c r="B5" s="3"/>
      <c r="C5" s="3"/>
      <c r="D5" s="3"/>
    </row>
    <row r="6" spans="1:8">
      <c r="A6" s="4" t="s">
        <v>1</v>
      </c>
      <c r="B6" s="5"/>
      <c r="C6" s="67"/>
      <c r="D6" s="67"/>
      <c r="E6" s="13" t="s">
        <v>2</v>
      </c>
      <c r="F6" s="14"/>
      <c r="G6" s="15"/>
    </row>
    <row r="7" spans="1:8">
      <c r="A7" s="4" t="s">
        <v>3</v>
      </c>
      <c r="B7" s="6"/>
      <c r="C7" s="6"/>
      <c r="D7" s="6"/>
      <c r="E7" s="7" t="s">
        <v>4</v>
      </c>
      <c r="F7" s="7" t="s">
        <v>5</v>
      </c>
      <c r="G7" s="7" t="s">
        <v>6</v>
      </c>
    </row>
    <row r="8" spans="1:8">
      <c r="A8" s="4" t="s">
        <v>7</v>
      </c>
      <c r="B8" s="5"/>
      <c r="C8" s="5"/>
      <c r="D8" s="5"/>
      <c r="E8" s="8">
        <v>1</v>
      </c>
      <c r="F8" s="9">
        <v>0</v>
      </c>
      <c r="G8" s="7">
        <v>1</v>
      </c>
    </row>
    <row r="9" spans="1:8">
      <c r="A9" s="19"/>
      <c r="B9" s="3"/>
      <c r="C9" s="3"/>
      <c r="D9" s="3"/>
      <c r="E9" s="20"/>
      <c r="F9" s="21"/>
      <c r="G9" s="22"/>
    </row>
    <row r="10" spans="1:8">
      <c r="A10" s="19"/>
      <c r="B10" s="3"/>
      <c r="C10" s="3"/>
      <c r="D10" s="3"/>
      <c r="E10" s="20"/>
      <c r="F10" s="21"/>
      <c r="G10" s="22"/>
    </row>
    <row r="11" spans="1:8">
      <c r="A11" s="19"/>
      <c r="B11" s="3"/>
      <c r="C11" s="3"/>
      <c r="D11" s="3"/>
      <c r="E11" s="20"/>
      <c r="F11" s="21"/>
      <c r="G11" s="22"/>
    </row>
    <row r="12" spans="1:8">
      <c r="A12" s="4"/>
      <c r="B12" s="5"/>
      <c r="C12" s="5"/>
      <c r="D12" s="5"/>
      <c r="E12" s="8"/>
      <c r="F12" s="9"/>
      <c r="G12" s="7"/>
      <c r="H12" s="18"/>
    </row>
    <row r="13" spans="1:8" ht="15.75">
      <c r="A13" s="195"/>
      <c r="B13" s="176"/>
      <c r="C13" s="68"/>
      <c r="D13" s="68"/>
      <c r="E13" s="208" t="s">
        <v>52</v>
      </c>
      <c r="F13" s="209"/>
      <c r="G13" s="209"/>
      <c r="H13" s="210"/>
    </row>
    <row r="14" spans="1:8" ht="15.75">
      <c r="A14" s="180" t="s">
        <v>8</v>
      </c>
      <c r="B14" s="211"/>
      <c r="C14" s="259" t="s">
        <v>72</v>
      </c>
      <c r="D14" s="262" t="s">
        <v>73</v>
      </c>
      <c r="E14" s="193"/>
      <c r="F14" s="214"/>
      <c r="G14" s="214"/>
      <c r="H14" s="215"/>
    </row>
    <row r="15" spans="1:8" ht="15">
      <c r="A15" s="181"/>
      <c r="B15" s="212"/>
      <c r="C15" s="260"/>
      <c r="D15" s="263"/>
      <c r="E15" s="16" t="s">
        <v>9</v>
      </c>
      <c r="F15" s="11" t="s">
        <v>10</v>
      </c>
      <c r="G15" s="12" t="s">
        <v>11</v>
      </c>
      <c r="H15" s="12" t="s">
        <v>12</v>
      </c>
    </row>
    <row r="16" spans="1:8">
      <c r="A16" s="181"/>
      <c r="B16" s="212"/>
      <c r="C16" s="260"/>
      <c r="D16" s="263"/>
      <c r="E16" s="177" t="s">
        <v>2</v>
      </c>
      <c r="F16" s="177"/>
      <c r="G16" s="178"/>
      <c r="H16" s="216" t="s">
        <v>0</v>
      </c>
    </row>
    <row r="17" spans="1:8" ht="15">
      <c r="A17" s="181"/>
      <c r="B17" s="213"/>
      <c r="C17" s="261"/>
      <c r="D17" s="264"/>
      <c r="E17" s="17" t="s">
        <v>13</v>
      </c>
      <c r="F17" s="10" t="s">
        <v>5</v>
      </c>
      <c r="G17" s="10" t="s">
        <v>6</v>
      </c>
      <c r="H17" s="217"/>
    </row>
    <row r="18" spans="1:8" ht="71.25">
      <c r="A18" s="265" t="s">
        <v>53</v>
      </c>
      <c r="B18" s="47" t="s">
        <v>55</v>
      </c>
      <c r="C18" s="61">
        <v>0.08</v>
      </c>
      <c r="D18" s="70">
        <f>IF(COUNTA(E18:G18)&gt;1, "PORFAVOR MARQUE UNA SOLA OPCION", IF(OR(E18&lt;&gt;"", G18&lt;&gt;""), C18, IF(F18&lt;&gt;"", 0, 0)))</f>
        <v>0</v>
      </c>
      <c r="E18" s="61"/>
      <c r="F18" s="1"/>
      <c r="G18" s="18"/>
      <c r="H18" s="18"/>
    </row>
    <row r="19" spans="1:8" ht="142.5">
      <c r="A19" s="266"/>
      <c r="B19" s="45" t="s">
        <v>56</v>
      </c>
      <c r="C19" s="56">
        <v>0.08</v>
      </c>
      <c r="D19" s="70">
        <f t="shared" ref="D19:D29" si="0">IF(COUNTA(E19:G19)&gt;1, "PORFAVOR MARQUE UNA SOLA OPCION", IF(OR(E19&lt;&gt;"", G19&lt;&gt;""), C19, IF(F19&lt;&gt;"", 0, 0)))</f>
        <v>0</v>
      </c>
      <c r="E19" s="56"/>
      <c r="F19" s="1"/>
      <c r="G19" s="18"/>
      <c r="H19" s="18"/>
    </row>
    <row r="20" spans="1:8" ht="99.75">
      <c r="A20" s="266"/>
      <c r="B20" s="45" t="s">
        <v>57</v>
      </c>
      <c r="C20" s="56">
        <v>0.08</v>
      </c>
      <c r="D20" s="70">
        <f t="shared" si="0"/>
        <v>0</v>
      </c>
      <c r="E20" s="56"/>
      <c r="F20" s="1"/>
      <c r="G20" s="18"/>
      <c r="H20" s="18"/>
    </row>
    <row r="21" spans="1:8" ht="71.25">
      <c r="A21" s="266"/>
      <c r="B21" s="45" t="s">
        <v>58</v>
      </c>
      <c r="C21" s="56">
        <v>0.08</v>
      </c>
      <c r="D21" s="70">
        <f t="shared" si="0"/>
        <v>0</v>
      </c>
      <c r="E21" s="56"/>
      <c r="F21" s="1"/>
      <c r="G21" s="18"/>
      <c r="H21" s="18"/>
    </row>
    <row r="22" spans="1:8" ht="99.75">
      <c r="A22" s="266"/>
      <c r="B22" s="45" t="s">
        <v>59</v>
      </c>
      <c r="C22" s="56">
        <v>0.08</v>
      </c>
      <c r="D22" s="70">
        <f t="shared" si="0"/>
        <v>0</v>
      </c>
      <c r="E22" s="56"/>
      <c r="F22" s="1"/>
      <c r="G22" s="18"/>
      <c r="H22" s="18"/>
    </row>
    <row r="23" spans="1:8" ht="111.75" customHeight="1">
      <c r="A23" s="266"/>
      <c r="B23" s="45" t="s">
        <v>60</v>
      </c>
      <c r="C23" s="56">
        <v>0.08</v>
      </c>
      <c r="D23" s="70">
        <f t="shared" si="0"/>
        <v>0</v>
      </c>
      <c r="E23" s="56"/>
      <c r="F23" s="1"/>
      <c r="G23" s="18"/>
      <c r="H23" s="18"/>
    </row>
    <row r="24" spans="1:8" ht="42.75">
      <c r="A24" s="266"/>
      <c r="B24" s="45" t="s">
        <v>61</v>
      </c>
      <c r="C24" s="56">
        <v>0.08</v>
      </c>
      <c r="D24" s="70">
        <f t="shared" si="0"/>
        <v>0</v>
      </c>
      <c r="E24" s="56"/>
      <c r="F24" s="1"/>
      <c r="G24" s="18"/>
      <c r="H24" s="18"/>
    </row>
    <row r="25" spans="1:8" ht="32.25" customHeight="1">
      <c r="A25" s="266"/>
      <c r="B25" s="45" t="s">
        <v>54</v>
      </c>
      <c r="C25" s="56">
        <v>0.09</v>
      </c>
      <c r="D25" s="70">
        <f t="shared" si="0"/>
        <v>0</v>
      </c>
      <c r="E25" s="56"/>
      <c r="F25" s="1"/>
      <c r="G25" s="18"/>
      <c r="H25" s="18"/>
    </row>
    <row r="26" spans="1:8" ht="195" customHeight="1">
      <c r="A26" s="266"/>
      <c r="B26" s="45" t="s">
        <v>63</v>
      </c>
      <c r="C26" s="57">
        <v>0.09</v>
      </c>
      <c r="D26" s="70">
        <f t="shared" si="0"/>
        <v>0</v>
      </c>
      <c r="E26" s="57"/>
      <c r="F26" s="2"/>
      <c r="G26" s="18"/>
      <c r="H26" s="18"/>
    </row>
    <row r="27" spans="1:8" ht="72.75" customHeight="1">
      <c r="A27" s="204" t="s">
        <v>62</v>
      </c>
      <c r="B27" s="46" t="s">
        <v>64</v>
      </c>
      <c r="C27" s="57">
        <v>0.09</v>
      </c>
      <c r="D27" s="70">
        <f t="shared" si="0"/>
        <v>0</v>
      </c>
      <c r="E27" s="57"/>
      <c r="F27" s="2"/>
      <c r="G27" s="18"/>
      <c r="H27" s="18"/>
    </row>
    <row r="28" spans="1:8" ht="45" customHeight="1">
      <c r="A28" s="204"/>
      <c r="B28" s="46" t="s">
        <v>65</v>
      </c>
      <c r="C28" s="57">
        <v>0.08</v>
      </c>
      <c r="D28" s="70">
        <f t="shared" si="0"/>
        <v>0</v>
      </c>
      <c r="E28" s="57"/>
      <c r="F28" s="2"/>
      <c r="G28" s="18"/>
      <c r="H28" s="18"/>
    </row>
    <row r="29" spans="1:8" ht="52.5" customHeight="1">
      <c r="A29" s="218"/>
      <c r="B29" s="48" t="s">
        <v>66</v>
      </c>
      <c r="C29" s="65">
        <v>0.09</v>
      </c>
      <c r="D29" s="70">
        <f t="shared" si="0"/>
        <v>0</v>
      </c>
      <c r="E29" s="65"/>
      <c r="F29" s="2"/>
      <c r="G29" s="18"/>
      <c r="H29" s="18"/>
    </row>
    <row r="30" spans="1:8" ht="15">
      <c r="A30" s="190" t="s">
        <v>16</v>
      </c>
      <c r="B30" s="188"/>
      <c r="C30" s="82"/>
      <c r="D30" s="82"/>
      <c r="E30" s="49">
        <f>COUNT(#REF!)</f>
        <v>0</v>
      </c>
      <c r="F30" s="49">
        <f>COUNT(#REF!)</f>
        <v>0</v>
      </c>
      <c r="G30" s="49">
        <f>COUNT(#REF!)</f>
        <v>0</v>
      </c>
      <c r="H30" s="50"/>
    </row>
    <row r="31" spans="1:8" s="18" customFormat="1" ht="15">
      <c r="A31" s="200"/>
      <c r="B31" s="201"/>
      <c r="C31" s="69"/>
      <c r="D31" s="69"/>
      <c r="E31" s="184">
        <f>IFERROR((E30/((E30+F30+G30)-G30)),0)</f>
        <v>0</v>
      </c>
      <c r="F31" s="185"/>
      <c r="G31" s="186"/>
      <c r="H31" s="28"/>
    </row>
    <row r="34" spans="1:8" ht="15.75">
      <c r="A34" s="23" t="s">
        <v>67</v>
      </c>
      <c r="B34" s="24" t="s">
        <v>17</v>
      </c>
      <c r="C34" s="51"/>
      <c r="D34" s="51"/>
      <c r="E34" s="51"/>
      <c r="F34" s="52"/>
      <c r="G34" s="52"/>
      <c r="H34" s="53"/>
    </row>
    <row r="35" spans="1:8" ht="15.75">
      <c r="A35" s="25" t="s">
        <v>68</v>
      </c>
      <c r="B35" s="169" t="s">
        <v>69</v>
      </c>
      <c r="C35" s="170"/>
      <c r="D35" s="170"/>
      <c r="E35" s="170"/>
      <c r="F35" s="170"/>
      <c r="G35" s="170"/>
      <c r="H35" s="170"/>
    </row>
    <row r="36" spans="1:8" ht="15.75">
      <c r="A36" s="26" t="s">
        <v>70</v>
      </c>
      <c r="B36" s="169" t="s">
        <v>18</v>
      </c>
      <c r="C36" s="169"/>
      <c r="D36" s="169"/>
      <c r="E36" s="169"/>
      <c r="F36" s="169"/>
      <c r="G36" s="169"/>
      <c r="H36" s="169"/>
    </row>
    <row r="37" spans="1:8" ht="15.75">
      <c r="A37" s="27" t="s">
        <v>19</v>
      </c>
      <c r="B37" s="169" t="s">
        <v>20</v>
      </c>
      <c r="C37" s="169"/>
      <c r="D37" s="169"/>
      <c r="E37" s="169"/>
      <c r="F37" s="169"/>
      <c r="G37" s="169"/>
      <c r="H37" s="169"/>
    </row>
  </sheetData>
  <mergeCells count="16">
    <mergeCell ref="B37:H37"/>
    <mergeCell ref="E16:G16"/>
    <mergeCell ref="H16:H17"/>
    <mergeCell ref="A2:F3"/>
    <mergeCell ref="A13:B13"/>
    <mergeCell ref="E13:H13"/>
    <mergeCell ref="A14:B17"/>
    <mergeCell ref="E14:H14"/>
    <mergeCell ref="A27:A29"/>
    <mergeCell ref="A18:A26"/>
    <mergeCell ref="B35:H35"/>
    <mergeCell ref="B36:H36"/>
    <mergeCell ref="A30:B31"/>
    <mergeCell ref="E31:G31"/>
    <mergeCell ref="C14:C17"/>
    <mergeCell ref="D14:D17"/>
  </mergeCells>
  <conditionalFormatting sqref="D18:D29">
    <cfRule type="cellIs" dxfId="2" priority="2" operator="equal">
      <formula>0</formula>
    </cfRule>
    <cfRule type="containsText" dxfId="1" priority="3" operator="containsText" text="PORFAVOR MARQUE UNA SOLA OPCION">
      <formula>NOT(ISERROR(SEARCH("PORFAVOR MARQUE UNA SOLA OPCION",D18)))</formula>
    </cfRule>
    <cfRule type="cellIs" dxfId="0" priority="4" operator="greaterThan">
      <formula>0</formula>
    </cfRule>
  </conditionalFormatting>
  <conditionalFormatting sqref="E31:G31">
    <cfRule type="colorScale" priority="1">
      <colorScale>
        <cfvo type="num" val="0.5"/>
        <cfvo type="num" val="0.7"/>
        <cfvo type="num" val="1"/>
        <color rgb="FFFF0000"/>
        <color rgb="FFFFEB84"/>
        <color theme="9" tint="-0.249977111117893"/>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VIOLENCIA SEXUAL</vt:lpstr>
      <vt:lpstr>ITS-VIH</vt:lpstr>
      <vt:lpstr>CANCER DE COLOM RECTAL</vt:lpstr>
      <vt:lpstr>CANCER DE MAMA</vt:lpstr>
      <vt:lpstr>CANCER DE PROSTATA</vt:lpstr>
      <vt:lpstr>CANCER DE CUELLO UTERINO</vt:lpstr>
      <vt:lpstr>SALUD ORAL</vt:lpstr>
      <vt:lpstr>SALUD MENTAL</vt:lpstr>
      <vt:lpstr>RESO 2350</vt:lpstr>
      <vt:lpstr>RES 2465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Yenny Marcela Mateus Suarez</dc:creator>
  <cp:lastModifiedBy>Claudia Orduy</cp:lastModifiedBy>
  <dcterms:created xsi:type="dcterms:W3CDTF">2024-10-22T18:53:40Z</dcterms:created>
  <dcterms:modified xsi:type="dcterms:W3CDTF">2026-03-14T17:12:11Z</dcterms:modified>
</cp:coreProperties>
</file>