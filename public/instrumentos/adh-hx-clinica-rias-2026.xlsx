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Jaime Orduy\Desktop\claudia orduy\ALCALDIA 2026\28-02-2026 al 28-03-2026\INSTRUMETOS PARAMETRIZADOS-RIAS VIG 2026\"/>
    </mc:Choice>
  </mc:AlternateContent>
  <xr:revisionPtr revIDLastSave="0" documentId="13_ncr:1_{787E7B52-D537-47C8-B59B-029F1E87348B}" xr6:coauthVersionLast="47" xr6:coauthVersionMax="47" xr10:uidLastSave="{00000000-0000-0000-0000-000000000000}"/>
  <bookViews>
    <workbookView xWindow="-120" yWindow="-120" windowWidth="20730" windowHeight="11160" firstSheet="4" activeTab="4" xr2:uid="{00000000-000D-0000-FFFF-FFFF00000000}"/>
  </bookViews>
  <sheets>
    <sheet name="CONSULTA PRECONCEPCIONAL" sheetId="22" r:id="rId1"/>
    <sheet name="CONTROL PRENTAL" sheetId="23" r:id="rId2"/>
    <sheet name="PF." sheetId="24" r:id="rId3"/>
    <sheet name="LACTANCIA MATERNA" sheetId="27" r:id="rId4"/>
    <sheet name="PRIMERA INFANCIA" sheetId="28" r:id="rId5"/>
    <sheet name="INFANCIA" sheetId="29" r:id="rId6"/>
    <sheet name="ADOLESCENCIA" sheetId="25" r:id="rId7"/>
    <sheet name="JUEVENTUD" sheetId="26" r:id="rId8"/>
    <sheet name="ADULTEZ" sheetId="12" r:id="rId9"/>
    <sheet name="VEJEZ" sheetId="1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0" i="13" l="1"/>
  <c r="G110" i="13"/>
  <c r="H84" i="25"/>
  <c r="G84" i="25"/>
  <c r="F63" i="27"/>
  <c r="G63" i="27"/>
  <c r="H63" i="27"/>
  <c r="F64" i="27"/>
  <c r="H85" i="28"/>
  <c r="G85" i="28"/>
  <c r="F85" i="28"/>
  <c r="H76" i="29"/>
  <c r="G76" i="29"/>
  <c r="F76" i="29"/>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09" i="13"/>
  <c r="E108" i="13"/>
  <c r="E107" i="13"/>
  <c r="E106" i="13"/>
  <c r="E105" i="13"/>
  <c r="E104" i="13"/>
  <c r="E103" i="13"/>
  <c r="E102" i="13"/>
  <c r="E101" i="13"/>
  <c r="E100" i="13"/>
  <c r="E99" i="13"/>
  <c r="E98" i="13"/>
  <c r="E97" i="13"/>
  <c r="E96" i="13"/>
  <c r="E95" i="13"/>
  <c r="E94" i="13"/>
  <c r="E93" i="13"/>
  <c r="E92" i="13"/>
  <c r="E91" i="13"/>
  <c r="E90" i="13"/>
  <c r="E89" i="13"/>
  <c r="E88" i="13"/>
  <c r="E87" i="13"/>
  <c r="E86" i="13"/>
  <c r="E85" i="13"/>
  <c r="E84" i="13"/>
  <c r="E83" i="13"/>
  <c r="E82" i="13"/>
  <c r="E81" i="13"/>
  <c r="E80" i="13"/>
  <c r="E79" i="13"/>
  <c r="E78" i="13"/>
  <c r="E77" i="13"/>
  <c r="E76" i="13"/>
  <c r="E75" i="13"/>
  <c r="E74" i="13"/>
  <c r="E73" i="13"/>
  <c r="E72" i="13"/>
  <c r="E71" i="13"/>
  <c r="E70" i="13"/>
  <c r="E69" i="13"/>
  <c r="E68" i="13"/>
  <c r="E67" i="13"/>
  <c r="E66" i="13"/>
  <c r="E65" i="13"/>
  <c r="E64" i="13"/>
  <c r="E63" i="13"/>
  <c r="E62" i="13"/>
  <c r="E61" i="13"/>
  <c r="E60" i="13"/>
  <c r="E59" i="13"/>
  <c r="E58" i="13"/>
  <c r="E57" i="13"/>
  <c r="E56" i="13"/>
  <c r="E55" i="13"/>
  <c r="E54" i="13"/>
  <c r="E53" i="13"/>
  <c r="E52" i="13"/>
  <c r="E51" i="13"/>
  <c r="E50" i="13"/>
  <c r="E49" i="13"/>
  <c r="E48" i="13"/>
  <c r="E47" i="13"/>
  <c r="E46" i="13"/>
  <c r="E45" i="13"/>
  <c r="E44" i="13"/>
  <c r="E43" i="13"/>
  <c r="E42" i="13"/>
  <c r="E41" i="13"/>
  <c r="E40" i="13"/>
  <c r="E39" i="13"/>
  <c r="E38" i="13"/>
  <c r="E37" i="13"/>
  <c r="E36" i="13"/>
  <c r="E35" i="13"/>
  <c r="E34" i="13"/>
  <c r="E33" i="13"/>
  <c r="E32" i="13"/>
  <c r="E31" i="13"/>
  <c r="E30" i="13"/>
  <c r="E29" i="13"/>
  <c r="E28" i="13"/>
  <c r="E27" i="13"/>
  <c r="E26" i="13"/>
  <c r="E25" i="13"/>
  <c r="E24" i="13"/>
  <c r="E23" i="13"/>
  <c r="E22" i="13"/>
  <c r="E21" i="13"/>
  <c r="E20" i="13"/>
  <c r="E19" i="13"/>
  <c r="E18" i="13"/>
  <c r="E17" i="13"/>
  <c r="E16" i="13"/>
  <c r="E15" i="13"/>
  <c r="D53" i="22"/>
  <c r="D52" i="22"/>
  <c r="D51" i="22"/>
  <c r="D50" i="22"/>
  <c r="D49" i="22"/>
  <c r="D48" i="22"/>
  <c r="D47" i="22"/>
  <c r="D46" i="22"/>
  <c r="D45" i="22"/>
  <c r="D44" i="22"/>
  <c r="D43" i="22"/>
  <c r="D42" i="22"/>
  <c r="D41" i="22"/>
  <c r="D40" i="22"/>
  <c r="D39" i="22"/>
  <c r="D38" i="22"/>
  <c r="D37" i="22"/>
  <c r="D36" i="22"/>
  <c r="D35" i="22"/>
  <c r="D34" i="22"/>
  <c r="D33" i="22"/>
  <c r="D32" i="22"/>
  <c r="D31" i="22"/>
  <c r="D30" i="22"/>
  <c r="D29" i="22"/>
  <c r="D28" i="22"/>
  <c r="D27" i="22"/>
  <c r="D26" i="22"/>
  <c r="D25" i="22"/>
  <c r="D24" i="22"/>
  <c r="D23" i="22"/>
  <c r="D22" i="22"/>
  <c r="D21" i="22"/>
  <c r="D20" i="22"/>
  <c r="D19" i="22"/>
  <c r="D18" i="22"/>
  <c r="D86" i="23"/>
  <c r="D85" i="23"/>
  <c r="D84" i="23"/>
  <c r="D83" i="23"/>
  <c r="D82" i="23"/>
  <c r="D81" i="23"/>
  <c r="D80" i="23"/>
  <c r="D79" i="23"/>
  <c r="D78" i="23"/>
  <c r="D77" i="23"/>
  <c r="D76" i="23"/>
  <c r="D75" i="23"/>
  <c r="D74" i="23"/>
  <c r="D73" i="23"/>
  <c r="D72" i="23"/>
  <c r="D71" i="23"/>
  <c r="D70" i="23"/>
  <c r="D69" i="23"/>
  <c r="D68" i="23"/>
  <c r="D67" i="23"/>
  <c r="D66" i="23"/>
  <c r="D65" i="23"/>
  <c r="D64" i="23"/>
  <c r="D63" i="23"/>
  <c r="D62" i="23"/>
  <c r="D61" i="23"/>
  <c r="D60" i="23"/>
  <c r="D59" i="23"/>
  <c r="D58" i="23"/>
  <c r="D57" i="23"/>
  <c r="D56" i="23"/>
  <c r="D55" i="23"/>
  <c r="D54" i="23"/>
  <c r="D53" i="23"/>
  <c r="D52" i="23"/>
  <c r="D51" i="23"/>
  <c r="D50" i="23"/>
  <c r="D49" i="23"/>
  <c r="D48" i="23"/>
  <c r="D47" i="23"/>
  <c r="D46" i="23"/>
  <c r="D45" i="23"/>
  <c r="D44" i="23"/>
  <c r="D43" i="23"/>
  <c r="D42" i="23"/>
  <c r="D41" i="23"/>
  <c r="D40" i="23"/>
  <c r="D39" i="23"/>
  <c r="D38" i="23"/>
  <c r="D37" i="23"/>
  <c r="D36" i="23"/>
  <c r="D35" i="23"/>
  <c r="D34" i="23"/>
  <c r="D33" i="23"/>
  <c r="D32" i="23"/>
  <c r="D31" i="23"/>
  <c r="D30" i="23"/>
  <c r="D29" i="23"/>
  <c r="D28" i="23"/>
  <c r="D27" i="23"/>
  <c r="D26" i="23"/>
  <c r="D25" i="23"/>
  <c r="D24" i="23"/>
  <c r="D23" i="23"/>
  <c r="D22" i="23"/>
  <c r="D21" i="23"/>
  <c r="D20" i="23"/>
  <c r="D19" i="23"/>
  <c r="D18" i="23"/>
  <c r="D17" i="23"/>
  <c r="D64" i="24"/>
  <c r="D63" i="24"/>
  <c r="D62" i="24"/>
  <c r="D61" i="24"/>
  <c r="D60" i="24"/>
  <c r="D59" i="24"/>
  <c r="D58" i="24"/>
  <c r="D57" i="24"/>
  <c r="D56" i="24"/>
  <c r="D55" i="24"/>
  <c r="D54" i="24"/>
  <c r="D53" i="24"/>
  <c r="D52" i="24"/>
  <c r="D51" i="24"/>
  <c r="D50" i="24"/>
  <c r="D49" i="24"/>
  <c r="D48" i="24"/>
  <c r="D47" i="24"/>
  <c r="D46" i="24"/>
  <c r="D45" i="24"/>
  <c r="D44" i="24"/>
  <c r="D43" i="24"/>
  <c r="D42" i="24"/>
  <c r="D41" i="24"/>
  <c r="D40" i="24"/>
  <c r="D39" i="24"/>
  <c r="D38" i="24"/>
  <c r="D37" i="24"/>
  <c r="D36" i="24"/>
  <c r="D35" i="24"/>
  <c r="D34" i="24"/>
  <c r="D33" i="24"/>
  <c r="D32" i="24"/>
  <c r="D31" i="24"/>
  <c r="D30" i="24"/>
  <c r="D29" i="24"/>
  <c r="D28" i="24"/>
  <c r="D27" i="24"/>
  <c r="D26" i="24"/>
  <c r="D25" i="24"/>
  <c r="D24" i="24"/>
  <c r="D23" i="24"/>
  <c r="D22" i="24"/>
  <c r="D21" i="24"/>
  <c r="D20" i="24"/>
  <c r="D19" i="24"/>
  <c r="D18" i="24"/>
  <c r="D17" i="24"/>
  <c r="E83" i="25"/>
  <c r="E82" i="25"/>
  <c r="E81" i="25"/>
  <c r="E80" i="25"/>
  <c r="E79" i="25"/>
  <c r="E78" i="25"/>
  <c r="E77" i="25"/>
  <c r="E76" i="25"/>
  <c r="E75" i="25"/>
  <c r="E74" i="25"/>
  <c r="E73" i="25"/>
  <c r="E72" i="25"/>
  <c r="E71" i="25"/>
  <c r="E70" i="25"/>
  <c r="E69" i="25"/>
  <c r="E68" i="25"/>
  <c r="E67" i="25"/>
  <c r="E66" i="25"/>
  <c r="E65" i="25"/>
  <c r="E64" i="25"/>
  <c r="E63" i="25"/>
  <c r="E62" i="25"/>
  <c r="E61" i="25"/>
  <c r="E60" i="25"/>
  <c r="E59" i="25"/>
  <c r="E58" i="25"/>
  <c r="E57" i="25"/>
  <c r="E56" i="25"/>
  <c r="E55" i="25"/>
  <c r="E54" i="25"/>
  <c r="E53" i="25"/>
  <c r="E52" i="25"/>
  <c r="E51" i="25"/>
  <c r="E50" i="25"/>
  <c r="E49" i="25"/>
  <c r="E48" i="25"/>
  <c r="E47" i="25"/>
  <c r="E46" i="25"/>
  <c r="E45" i="25"/>
  <c r="E44" i="25"/>
  <c r="E43" i="25"/>
  <c r="E42" i="25"/>
  <c r="E41" i="25"/>
  <c r="E40" i="25"/>
  <c r="E39" i="25"/>
  <c r="E38" i="25"/>
  <c r="E37" i="25"/>
  <c r="E36" i="25"/>
  <c r="E35" i="25"/>
  <c r="E34" i="25"/>
  <c r="E33" i="25"/>
  <c r="E32" i="25"/>
  <c r="E31" i="25"/>
  <c r="E30" i="25"/>
  <c r="E29" i="25"/>
  <c r="E28" i="25"/>
  <c r="E27" i="25"/>
  <c r="E26" i="25"/>
  <c r="E25" i="25"/>
  <c r="E24" i="25"/>
  <c r="E23" i="25"/>
  <c r="E22" i="25"/>
  <c r="E21" i="25"/>
  <c r="E20" i="25"/>
  <c r="E19" i="25"/>
  <c r="E18" i="25"/>
  <c r="E17" i="25"/>
  <c r="E16" i="25"/>
  <c r="E15" i="25"/>
  <c r="E91" i="26"/>
  <c r="E90" i="26"/>
  <c r="E89" i="26"/>
  <c r="E88" i="26"/>
  <c r="E87" i="26"/>
  <c r="E86" i="26"/>
  <c r="E85" i="26"/>
  <c r="E84" i="26"/>
  <c r="E83" i="26"/>
  <c r="E82" i="26"/>
  <c r="E81" i="26"/>
  <c r="E80" i="26"/>
  <c r="E79" i="26"/>
  <c r="E78"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20" i="26"/>
  <c r="E19" i="26"/>
  <c r="E18" i="26"/>
  <c r="E17" i="26"/>
  <c r="E16" i="26"/>
  <c r="E62" i="27"/>
  <c r="E61" i="27"/>
  <c r="E60" i="27"/>
  <c r="E59" i="27"/>
  <c r="E58" i="27"/>
  <c r="E57" i="27"/>
  <c r="E56" i="27"/>
  <c r="E55" i="27"/>
  <c r="E54" i="27"/>
  <c r="E53" i="27"/>
  <c r="E52" i="27"/>
  <c r="E51" i="27"/>
  <c r="E50" i="27"/>
  <c r="E49" i="27"/>
  <c r="E48" i="27"/>
  <c r="E47" i="27"/>
  <c r="E46" i="27"/>
  <c r="E45" i="27"/>
  <c r="E44" i="27"/>
  <c r="E43" i="27"/>
  <c r="E42" i="27"/>
  <c r="E41" i="27"/>
  <c r="E40" i="27"/>
  <c r="E39" i="27"/>
  <c r="E38" i="27"/>
  <c r="E37" i="27"/>
  <c r="E36" i="27"/>
  <c r="E35" i="27"/>
  <c r="E34" i="27"/>
  <c r="E33" i="27"/>
  <c r="E32" i="27"/>
  <c r="E31" i="27"/>
  <c r="E30" i="27"/>
  <c r="E29" i="27"/>
  <c r="E28" i="27"/>
  <c r="E27" i="27"/>
  <c r="E26" i="27"/>
  <c r="E25" i="27"/>
  <c r="E24" i="27"/>
  <c r="E23" i="27"/>
  <c r="E22" i="27"/>
  <c r="E21" i="27"/>
  <c r="E20" i="27"/>
  <c r="E19" i="27"/>
  <c r="E18" i="27"/>
  <c r="E17" i="27"/>
  <c r="E16" i="27"/>
  <c r="E15" i="27"/>
  <c r="E75" i="29"/>
  <c r="E74" i="29"/>
  <c r="E73" i="29"/>
  <c r="E72" i="29"/>
  <c r="E71" i="29"/>
  <c r="E70" i="29"/>
  <c r="E69" i="29"/>
  <c r="E68" i="29"/>
  <c r="E67" i="29"/>
  <c r="E66" i="29"/>
  <c r="E65" i="29"/>
  <c r="E64" i="29"/>
  <c r="E63" i="29"/>
  <c r="E62" i="29"/>
  <c r="E61" i="29"/>
  <c r="E60" i="29"/>
  <c r="E59" i="29"/>
  <c r="E58" i="29"/>
  <c r="E57" i="29"/>
  <c r="E56" i="29"/>
  <c r="E55" i="29"/>
  <c r="E54" i="29"/>
  <c r="E53" i="29"/>
  <c r="E52" i="29"/>
  <c r="E51" i="29"/>
  <c r="E50" i="29"/>
  <c r="E49" i="29"/>
  <c r="E48" i="29"/>
  <c r="E47" i="29"/>
  <c r="E46" i="29"/>
  <c r="E45" i="29"/>
  <c r="E44" i="29"/>
  <c r="E43" i="29"/>
  <c r="E42" i="29"/>
  <c r="E41" i="29"/>
  <c r="E40" i="29"/>
  <c r="E39" i="29"/>
  <c r="E38" i="29"/>
  <c r="E37" i="29"/>
  <c r="E36" i="29"/>
  <c r="E35" i="29"/>
  <c r="E34" i="29"/>
  <c r="E33" i="29"/>
  <c r="E32" i="29"/>
  <c r="E31" i="29"/>
  <c r="E30" i="29"/>
  <c r="E29" i="29"/>
  <c r="E28" i="29"/>
  <c r="E27" i="29"/>
  <c r="E26" i="29"/>
  <c r="E25" i="29"/>
  <c r="E24" i="29"/>
  <c r="E23" i="29"/>
  <c r="E22" i="29"/>
  <c r="E21" i="29"/>
  <c r="E20" i="29"/>
  <c r="E19" i="29"/>
  <c r="E18" i="29"/>
  <c r="E17" i="29"/>
  <c r="E16" i="29"/>
  <c r="E15" i="29"/>
  <c r="D75" i="29"/>
  <c r="E84" i="28"/>
  <c r="E83" i="28"/>
  <c r="E82" i="28"/>
  <c r="E81" i="28"/>
  <c r="E80" i="28"/>
  <c r="E79" i="28"/>
  <c r="E78" i="28"/>
  <c r="E77" i="28"/>
  <c r="E76" i="28"/>
  <c r="E75" i="28"/>
  <c r="E74" i="28"/>
  <c r="E73" i="28"/>
  <c r="E72" i="28"/>
  <c r="E71" i="28"/>
  <c r="E70" i="28"/>
  <c r="E69" i="28"/>
  <c r="E68" i="28"/>
  <c r="E67" i="28"/>
  <c r="E66" i="28"/>
  <c r="E65" i="28"/>
  <c r="E64" i="28"/>
  <c r="E63" i="28"/>
  <c r="E62" i="28"/>
  <c r="E61" i="28"/>
  <c r="E60" i="28"/>
  <c r="E59" i="28"/>
  <c r="E58" i="28"/>
  <c r="E57" i="28"/>
  <c r="E56" i="28"/>
  <c r="E55" i="28"/>
  <c r="E54" i="28"/>
  <c r="E53" i="28"/>
  <c r="E52" i="28"/>
  <c r="E51" i="28"/>
  <c r="E50" i="28"/>
  <c r="E49" i="28"/>
  <c r="E48" i="28"/>
  <c r="E47" i="28"/>
  <c r="E46" i="28"/>
  <c r="E45" i="28"/>
  <c r="E44" i="28"/>
  <c r="E43" i="28"/>
  <c r="E42" i="28"/>
  <c r="E41" i="28"/>
  <c r="E40" i="28"/>
  <c r="E39" i="28"/>
  <c r="E38" i="28"/>
  <c r="E37" i="28"/>
  <c r="E36" i="28"/>
  <c r="E35" i="28"/>
  <c r="E34" i="28"/>
  <c r="E33" i="28"/>
  <c r="E32" i="28"/>
  <c r="E31" i="28"/>
  <c r="E30" i="28"/>
  <c r="E29" i="28"/>
  <c r="E28" i="28"/>
  <c r="E27" i="28"/>
  <c r="E26" i="28"/>
  <c r="E25" i="28"/>
  <c r="E24" i="28"/>
  <c r="E23" i="28"/>
  <c r="E22" i="28"/>
  <c r="E21" i="28"/>
  <c r="E20" i="28"/>
  <c r="E19" i="28"/>
  <c r="E18" i="28"/>
  <c r="E17" i="28"/>
  <c r="E16" i="28"/>
  <c r="E15" i="28"/>
  <c r="D84" i="28"/>
  <c r="F77" i="29" l="1"/>
  <c r="F86" i="28"/>
  <c r="D63" i="27"/>
  <c r="E63" i="27" l="1"/>
  <c r="D92" i="26"/>
  <c r="F92" i="26"/>
  <c r="G92" i="26"/>
  <c r="H92" i="26"/>
  <c r="D84" i="25"/>
  <c r="F84" i="25"/>
  <c r="F85" i="25" s="1"/>
  <c r="C65" i="24"/>
  <c r="E65" i="24"/>
  <c r="F65" i="24"/>
  <c r="G65" i="24"/>
  <c r="C87" i="23"/>
  <c r="E87" i="23"/>
  <c r="F87" i="23"/>
  <c r="G87" i="23"/>
  <c r="C54" i="22"/>
  <c r="E54" i="22"/>
  <c r="E55" i="22" s="1"/>
  <c r="F54" i="22"/>
  <c r="G54" i="22"/>
  <c r="F93" i="26" l="1"/>
  <c r="E66" i="24"/>
  <c r="E88" i="23"/>
  <c r="F110" i="13" l="1"/>
  <c r="D110" i="13"/>
  <c r="H101" i="12"/>
  <c r="G101" i="12"/>
  <c r="F101" i="12"/>
  <c r="D101" i="12"/>
  <c r="F111" i="13" l="1"/>
  <c r="F10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JOHANNA ALEXANDRA DUARTE REYES</author>
    <author>Claudia Orduy</author>
  </authors>
  <commentList>
    <comment ref="B26" authorId="0" shapeId="0" xr:uid="{00000000-0006-0000-0000-000001000000}">
      <text>
        <r>
          <rPr>
            <b/>
            <sz val="9"/>
            <color indexed="81"/>
            <rFont val="Tahoma"/>
            <family val="2"/>
          </rPr>
          <t>debe incluir la estructura y dinámica familiar, las redes de apoyo
familiar, social y comunitario. Indagar o identificar situaciones de vulnerabilidad:
exposición a violencias de género y/o sexual, estresores, exclusión social, pobreza,
marginalidad, e indagar sobre su manejo</t>
        </r>
        <r>
          <rPr>
            <sz val="9"/>
            <color indexed="81"/>
            <rFont val="Tahoma"/>
            <family val="2"/>
          </rPr>
          <t xml:space="preserve">
ANTECEDENTES PERSONALES O FAMILIARES DE DIAGNOSTICO PSIQUIATRICA.</t>
        </r>
      </text>
    </comment>
    <comment ref="B27" authorId="0" shapeId="0" xr:uid="{00000000-0006-0000-0000-000002000000}">
      <text>
        <r>
          <rPr>
            <b/>
            <sz val="9"/>
            <color indexed="81"/>
            <rFont val="Tahoma"/>
            <family val="2"/>
          </rPr>
          <t>patrones de consumo de alimentación, hábitos de higiene
general, actividad física, hábitos de descanso y sueño, manejo del estrés y situaciones de
alta tensión, consumo de medicamentos, consumo de tabaco, alcohol u otras sustancias
psicoactivas</t>
        </r>
        <r>
          <rPr>
            <sz val="9"/>
            <color indexed="81"/>
            <rFont val="Tahoma"/>
            <family val="2"/>
          </rPr>
          <t xml:space="preserve">
</t>
        </r>
      </text>
    </comment>
    <comment ref="B34" authorId="1" shapeId="0" xr:uid="{00000000-0006-0000-0000-000003000000}">
      <text>
        <r>
          <rPr>
            <b/>
            <sz val="9"/>
            <color indexed="81"/>
            <rFont val="Tahoma"/>
            <family val="2"/>
          </rPr>
          <t>Claudia Orduy:</t>
        </r>
        <r>
          <rPr>
            <sz val="9"/>
            <color indexed="81"/>
            <rFont val="Tahoma"/>
            <family val="2"/>
          </rPr>
          <t xml:space="preserve">
siempre</t>
        </r>
      </text>
    </comment>
    <comment ref="B35" authorId="1" shapeId="0" xr:uid="{00000000-0006-0000-0000-000004000000}">
      <text>
        <r>
          <rPr>
            <b/>
            <sz val="9"/>
            <color indexed="81"/>
            <rFont val="Tahoma"/>
            <family val="2"/>
          </rPr>
          <t>Claudia Orduy:</t>
        </r>
        <r>
          <rPr>
            <sz val="9"/>
            <color indexed="81"/>
            <rFont val="Tahoma"/>
            <family val="2"/>
          </rPr>
          <t xml:space="preserve">
según criterio medico por evaluacion clinica</t>
        </r>
      </text>
    </comment>
    <comment ref="B36" authorId="1" shapeId="0" xr:uid="{00000000-0006-0000-0000-000005000000}">
      <text>
        <r>
          <rPr>
            <b/>
            <sz val="9"/>
            <color indexed="81"/>
            <rFont val="Tahoma"/>
            <family val="2"/>
          </rPr>
          <t>Claudia Orduy:</t>
        </r>
        <r>
          <rPr>
            <sz val="9"/>
            <color indexed="81"/>
            <rFont val="Tahoma"/>
            <family val="2"/>
          </rPr>
          <t xml:space="preserve">
según criterio medico por evaluacion clinica</t>
        </r>
      </text>
    </comment>
    <comment ref="B37" authorId="1" shapeId="0" xr:uid="{00000000-0006-0000-0000-000006000000}">
      <text>
        <r>
          <rPr>
            <b/>
            <sz val="9"/>
            <color indexed="81"/>
            <rFont val="Tahoma"/>
            <family val="2"/>
          </rPr>
          <t>Claudia Orduy:</t>
        </r>
        <r>
          <rPr>
            <sz val="9"/>
            <color indexed="81"/>
            <rFont val="Tahoma"/>
            <family val="2"/>
          </rPr>
          <t xml:space="preserve">
según criterio medico por evaluacion clinica</t>
        </r>
      </text>
    </comment>
    <comment ref="B39" authorId="1" shapeId="0" xr:uid="{00000000-0006-0000-0000-000007000000}">
      <text>
        <r>
          <rPr>
            <b/>
            <sz val="9"/>
            <color indexed="81"/>
            <rFont val="Tahoma"/>
            <family val="2"/>
          </rPr>
          <t>Claudia Orduy:</t>
        </r>
        <r>
          <rPr>
            <sz val="9"/>
            <color indexed="81"/>
            <rFont val="Tahoma"/>
            <family val="2"/>
          </rPr>
          <t xml:space="preserve">
según criterio medico por evaluacion clinica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Orduy</author>
  </authors>
  <commentList>
    <comment ref="A59" authorId="0" shapeId="0" xr:uid="{00000000-0006-0000-0100-000001000000}">
      <text>
        <r>
          <rPr>
            <b/>
            <sz val="9"/>
            <color indexed="81"/>
            <rFont val="Tahoma"/>
            <family val="2"/>
          </rPr>
          <t>Claudia Orduy:</t>
        </r>
        <r>
          <rPr>
            <sz val="9"/>
            <color indexed="81"/>
            <rFont val="Tahoma"/>
            <family val="2"/>
          </rPr>
          <t xml:space="preserve">
solicitar historia clinica,de enfermera, medico genral y ginecologo</t>
        </r>
      </text>
    </comment>
    <comment ref="B80" authorId="0" shapeId="0" xr:uid="{00000000-0006-0000-0100-000002000000}">
      <text>
        <r>
          <rPr>
            <b/>
            <sz val="9"/>
            <color indexed="81"/>
            <rFont val="Tahoma"/>
            <family val="2"/>
          </rPr>
          <t>Claudia Orduy:</t>
        </r>
        <r>
          <rPr>
            <sz val="9"/>
            <color indexed="81"/>
            <rFont val="Tahoma"/>
            <family val="2"/>
          </rPr>
          <t xml:space="preserve">
si viene de zona endemica, denge,zika</t>
        </r>
      </text>
    </comment>
    <comment ref="B83" authorId="0" shapeId="0" xr:uid="{00000000-0006-0000-0100-000003000000}">
      <text>
        <r>
          <rPr>
            <b/>
            <sz val="9"/>
            <color indexed="81"/>
            <rFont val="Tahoma"/>
            <family val="2"/>
          </rPr>
          <t>Claudia Orduy:</t>
        </r>
        <r>
          <rPr>
            <sz val="9"/>
            <color indexed="81"/>
            <rFont val="Tahoma"/>
            <family val="2"/>
          </rPr>
          <t xml:space="preserve">
alternativo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Claudia Orduy</author>
    <author>JOHANNA ALEXANDRA DUARTE REYES</author>
  </authors>
  <commentList>
    <comment ref="B18" authorId="0" shapeId="0" xr:uid="{00000000-0006-0000-0200-000001000000}">
      <text>
        <r>
          <rPr>
            <b/>
            <sz val="9"/>
            <color indexed="81"/>
            <rFont val="Tahoma"/>
            <family val="2"/>
          </rPr>
          <t>Claudia Orduy:</t>
        </r>
        <r>
          <rPr>
            <sz val="9"/>
            <color indexed="81"/>
            <rFont val="Tahoma"/>
            <family val="2"/>
          </rPr>
          <t xml:space="preserve">
tener presnete a la hora de evaluar el talento humano debe contar con conocimientos sobre el uso, formulación y procedimientos, del método seleccionado por la persona, luego del proceso de elección libre e informado y aplicación de métodos anticonceptivos según normatividad y criterios de elegibilidad de la OMS vigentes, sensibilizados, con habilidades comunicativas y entrenados para abordar los diferentes tópicos de la sexualidad, la salud sexual y la salud reproductiva, desde la perspectiva de derechos. </t>
        </r>
      </text>
    </comment>
    <comment ref="B36" authorId="0" shapeId="0" xr:uid="{00000000-0006-0000-0200-000002000000}">
      <text>
        <r>
          <rPr>
            <b/>
            <sz val="9"/>
            <color indexed="81"/>
            <rFont val="Tahoma"/>
            <family val="2"/>
          </rPr>
          <t>Claudia Orduy:</t>
        </r>
        <r>
          <rPr>
            <sz val="9"/>
            <color indexed="81"/>
            <rFont val="Tahoma"/>
            <family val="2"/>
          </rPr>
          <t xml:space="preserve">
aplica para consulta de primera vez o alguna evaluacion</t>
        </r>
      </text>
    </comment>
    <comment ref="B51" authorId="1" shapeId="0" xr:uid="{00000000-0006-0000-0200-000003000000}">
      <text>
        <r>
          <rPr>
            <b/>
            <sz val="9"/>
            <color indexed="81"/>
            <rFont val="Tahoma"/>
            <family val="2"/>
          </rPr>
          <t>se debe hacer dentro de la consulta sin importar el momento del ciclo menstrual en el que se encuentre la usuaria, con base en los parámetros técnicos establecido para el manejo de anticonceptivos y estar disponibles en toda la red prestadora de servicios de salud. En el caso de adolescentes es deseable que el suministro no requiera su trámite en farmacia de manera que se garantice la confidencialidad. res- 3280/2018                                                                Es importante recordar que las IPS primaria no suminitra metodo de planificacion.</t>
        </r>
      </text>
    </comment>
    <comment ref="B53" authorId="1" shapeId="0" xr:uid="{00000000-0006-0000-0200-000004000000}">
      <text>
        <r>
          <rPr>
            <b/>
            <sz val="9"/>
            <color indexed="81"/>
            <rFont val="Tahoma"/>
            <family val="2"/>
          </rPr>
          <t>Si la usuaria tiene por lo menos uno de los criterios mencionados anteriormente y está libre de signos o síntomas de embarazo, suministre el método seleccionado en cualquier momento del ciclo menstrual teniendo en cuenta los criterios de inicio de cada método. Y si no se puede descartar el embarazo, se recomienda esperar su menstruación o hacer prueba de embarazo. (En caso de requerir prueba de embarazo, se recomienda la práctica de prueba rápida de manera inmediata, la cual debe estar disponible en la consulta). res 3280-2018</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4" authorId="0" shapeId="0" xr:uid="{00000000-0006-0000-0300-000001000000}">
      <text>
        <r>
          <rPr>
            <sz val="9"/>
            <rFont val="Tahoma"/>
            <charset val="134"/>
          </rPr>
          <t xml:space="preserve">REGISTRAR 1 EN CASO DE CUMPLIMIENTO </t>
        </r>
      </text>
    </comment>
    <comment ref="G14" authorId="0" shapeId="0" xr:uid="{00000000-0006-0000-0300-000002000000}">
      <text>
        <r>
          <rPr>
            <sz val="9"/>
            <rFont val="Tahoma"/>
            <charset val="134"/>
          </rPr>
          <t xml:space="preserve">REGISTRARCERO SI NO CUMPLE 
</t>
        </r>
      </text>
    </comment>
    <comment ref="B21" authorId="1" shapeId="0" xr:uid="{00000000-0006-0000-0300-000003000000}">
      <text>
        <r>
          <rPr>
            <b/>
            <sz val="9"/>
            <rFont val="Tahoma"/>
            <charset val="134"/>
          </rPr>
          <t>Claudia Orduy:</t>
        </r>
        <r>
          <rPr>
            <sz val="9"/>
            <rFont val="Tahoma"/>
            <charset val="134"/>
          </rPr>
          <t xml:space="preserve">
REVISAR JEFE RUBIELA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4" authorId="0" shapeId="0" xr:uid="{3FB81FEC-8E61-42CC-820B-676E65569BE7}">
      <text>
        <r>
          <rPr>
            <sz val="9"/>
            <color indexed="81"/>
            <rFont val="Tahoma"/>
            <family val="2"/>
          </rPr>
          <t xml:space="preserve">REGISTRAR 1 EN CASO DE CUMPLIMIENTO </t>
        </r>
      </text>
    </comment>
    <comment ref="G14" authorId="0" shapeId="0" xr:uid="{88B6BA90-1E71-4DF3-A14C-91176A337847}">
      <text>
        <r>
          <rPr>
            <sz val="9"/>
            <color indexed="81"/>
            <rFont val="Tahoma"/>
            <family val="2"/>
          </rPr>
          <t xml:space="preserve">REGISTRARCERO SI NO CUMPLE 
</t>
        </r>
      </text>
    </comment>
    <comment ref="C29" authorId="1" shapeId="0" xr:uid="{A850A372-296B-4286-8467-FD6210326A65}">
      <text>
        <r>
          <rPr>
            <b/>
            <sz val="9"/>
            <color indexed="81"/>
            <rFont val="Tahoma"/>
            <family val="2"/>
          </rPr>
          <t>Claudia Orduy:</t>
        </r>
        <r>
          <rPr>
            <sz val="9"/>
            <color indexed="81"/>
            <rFont val="Tahoma"/>
            <family val="2"/>
          </rPr>
          <t xml:space="preserve">
este Iten sugerido no es oblgtorio</t>
        </r>
      </text>
    </comment>
    <comment ref="C30" authorId="1" shapeId="0" xr:uid="{5D8E4DF0-1C85-4767-8A46-03116013E6CF}">
      <text>
        <r>
          <rPr>
            <b/>
            <sz val="9"/>
            <color indexed="81"/>
            <rFont val="Tahoma"/>
            <family val="2"/>
          </rPr>
          <t>Claudia Orduy:</t>
        </r>
        <r>
          <rPr>
            <sz val="9"/>
            <color indexed="81"/>
            <rFont val="Tahoma"/>
            <family val="2"/>
          </rPr>
          <t xml:space="preserve">
este Iten sugerido no es oblgtorio</t>
        </r>
      </text>
    </comment>
    <comment ref="C33" authorId="1" shapeId="0" xr:uid="{67726D81-1F7F-4EF0-AA32-793B0C3549F0}">
      <text>
        <r>
          <rPr>
            <b/>
            <sz val="9"/>
            <color indexed="81"/>
            <rFont val="Tahoma"/>
            <family val="2"/>
          </rPr>
          <t>Claudia Orduy:</t>
        </r>
        <r>
          <rPr>
            <sz val="9"/>
            <color indexed="81"/>
            <rFont val="Tahoma"/>
            <family val="2"/>
          </rPr>
          <t xml:space="preserve">
este item, es sugerido, en el momento que tenga criterio aplicar y se aplia con instrumento tes-m chat y este test es sugerido</t>
        </r>
      </text>
    </comment>
    <comment ref="C45" authorId="1" shapeId="0" xr:uid="{58D4E712-1C38-4A2D-8F3E-898BD015AE3A}">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B74" authorId="1" shapeId="0" xr:uid="{497FC21D-CCF0-4080-AECA-06A1F57E471C}">
      <text>
        <r>
          <rPr>
            <b/>
            <sz val="9"/>
            <color indexed="81"/>
            <rFont val="Tahoma"/>
            <family val="2"/>
          </rPr>
          <t>Claudia Orduy:</t>
        </r>
        <r>
          <rPr>
            <sz val="9"/>
            <color indexed="81"/>
            <rFont val="Tahoma"/>
            <family val="2"/>
          </rPr>
          <t xml:space="preserve">
cruzar con 2465-doliente jose david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4" authorId="0" shapeId="0" xr:uid="{F87FB72A-C6D7-4AB6-B557-D87740280CF2}">
      <text>
        <r>
          <rPr>
            <sz val="9"/>
            <color indexed="81"/>
            <rFont val="Tahoma"/>
            <family val="2"/>
          </rPr>
          <t xml:space="preserve">REGISTRAR 1 EN CASO DE CUMPLIMIENTO </t>
        </r>
      </text>
    </comment>
    <comment ref="G14" authorId="0" shapeId="0" xr:uid="{69DE1A3D-4DBF-48DA-9739-A99E940D090D}">
      <text>
        <r>
          <rPr>
            <sz val="9"/>
            <color indexed="81"/>
            <rFont val="Tahoma"/>
            <family val="2"/>
          </rPr>
          <t xml:space="preserve">REGISTRARCERO SI NO CUMPLE 
</t>
        </r>
      </text>
    </comment>
    <comment ref="B16" authorId="1" shapeId="0" xr:uid="{23DE05BC-8203-42DC-B86A-CAACB95D8502}">
      <text>
        <r>
          <rPr>
            <b/>
            <sz val="9"/>
            <color indexed="81"/>
            <rFont val="Tahoma"/>
            <family val="2"/>
          </rPr>
          <t>Claudia Orduy:</t>
        </r>
        <r>
          <rPr>
            <sz val="9"/>
            <color indexed="81"/>
            <rFont val="Tahoma"/>
            <family val="2"/>
          </rPr>
          <t xml:space="preserve">
NOS DEBEMOS GUIAR SI O SI POR LA PERIOCIDAD DEL TIEMPO DE LA RUTA POR FRECUENCIAS DE USO</t>
        </r>
      </text>
    </comment>
    <comment ref="C24" authorId="1" shapeId="0" xr:uid="{0D6A373B-5742-46AA-AF6D-9302311E7F09}">
      <text>
        <r>
          <rPr>
            <b/>
            <sz val="9"/>
            <color indexed="81"/>
            <rFont val="Tahoma"/>
            <family val="2"/>
          </rPr>
          <t>Claudia Orduy:</t>
        </r>
        <r>
          <rPr>
            <sz val="9"/>
            <color indexed="81"/>
            <rFont val="Tahoma"/>
            <family val="2"/>
          </rPr>
          <t xml:space="preserve">
este Iten sugerido no es oblgtorio</t>
        </r>
      </text>
    </comment>
    <comment ref="C30" authorId="1" shapeId="0" xr:uid="{FCB2C0EA-F62A-4D0D-8EBE-DEAB15E0AA9E}">
      <text>
        <r>
          <rPr>
            <b/>
            <sz val="9"/>
            <color indexed="81"/>
            <rFont val="Tahoma"/>
            <family val="2"/>
          </rPr>
          <t>Claudia Orduy:</t>
        </r>
        <r>
          <rPr>
            <sz val="9"/>
            <color indexed="81"/>
            <rFont val="Tahoma"/>
            <family val="2"/>
          </rPr>
          <t xml:space="preserve">
este Iten sugerido no es oblgtorio</t>
        </r>
      </text>
    </comment>
    <comment ref="C42" authorId="1" shapeId="0" xr:uid="{2CE1CC91-3BD8-4E7E-B25B-2E34BB271B2C}">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B67" authorId="1" shapeId="0" xr:uid="{9C9D7E3C-C17A-4714-875C-BEFAE2EBF763}">
      <text>
        <r>
          <rPr>
            <b/>
            <sz val="9"/>
            <color indexed="81"/>
            <rFont val="Tahoma"/>
            <family val="2"/>
          </rPr>
          <t>Claudia Orduy:</t>
        </r>
        <r>
          <rPr>
            <sz val="9"/>
            <color indexed="81"/>
            <rFont val="Tahoma"/>
            <family val="2"/>
          </rPr>
          <t xml:space="preserve">
cruzar con 2465-doliente jose davida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4" authorId="0" shapeId="0" xr:uid="{00000000-0006-0000-0300-000001000000}">
      <text>
        <r>
          <rPr>
            <sz val="9"/>
            <color indexed="81"/>
            <rFont val="Tahoma"/>
            <family val="2"/>
          </rPr>
          <t xml:space="preserve">REGISTRAR 1 EN CASO DE CUMPLIMIENTO </t>
        </r>
      </text>
    </comment>
    <comment ref="G14" authorId="0" shapeId="0" xr:uid="{00000000-0006-0000-0300-000002000000}">
      <text>
        <r>
          <rPr>
            <sz val="9"/>
            <color indexed="81"/>
            <rFont val="Tahoma"/>
            <family val="2"/>
          </rPr>
          <t xml:space="preserve">REGISTRARCERO SI NO CUMPLE 
</t>
        </r>
      </text>
    </comment>
    <comment ref="C27" authorId="1" shapeId="0" xr:uid="{00000000-0006-0000-0300-000007000000}">
      <text>
        <r>
          <rPr>
            <b/>
            <sz val="9"/>
            <color indexed="81"/>
            <rFont val="Tahoma"/>
            <family val="2"/>
          </rPr>
          <t>Claudia Orduy:</t>
        </r>
        <r>
          <rPr>
            <sz val="9"/>
            <color indexed="81"/>
            <rFont val="Tahoma"/>
            <family val="2"/>
          </rPr>
          <t xml:space="preserve">
este Iten sugerido no es oblgtorio</t>
        </r>
      </text>
    </comment>
    <comment ref="C28" authorId="1" shapeId="0" xr:uid="{00000000-0006-0000-0300-000008000000}">
      <text>
        <r>
          <rPr>
            <b/>
            <sz val="9"/>
            <color indexed="81"/>
            <rFont val="Tahoma"/>
            <family val="2"/>
          </rPr>
          <t>Claudia Orduy:</t>
        </r>
        <r>
          <rPr>
            <sz val="9"/>
            <color indexed="81"/>
            <rFont val="Tahoma"/>
            <family val="2"/>
          </rPr>
          <t xml:space="preserve">
este Iten sugerido no es oblgtorio</t>
        </r>
      </text>
    </comment>
    <comment ref="C41" authorId="1" shapeId="0" xr:uid="{00000000-0006-0000-0300-000009000000}">
      <text>
        <r>
          <rPr>
            <b/>
            <sz val="9"/>
            <color indexed="81"/>
            <rFont val="Tahoma"/>
            <family val="2"/>
          </rPr>
          <t>Claudia Orduy:</t>
        </r>
        <r>
          <rPr>
            <sz val="9"/>
            <color indexed="81"/>
            <rFont val="Tahoma"/>
            <family val="2"/>
          </rPr>
          <t xml:space="preserve">
tener presente que se valora con cartan de slem y si hay alteracion alguna se remite</t>
        </r>
      </text>
    </comment>
    <comment ref="C44" authorId="1" shapeId="0" xr:uid="{00000000-0006-0000-0300-00000A000000}">
      <text>
        <r>
          <rPr>
            <b/>
            <sz val="9"/>
            <color indexed="81"/>
            <rFont val="Tahoma"/>
            <family val="2"/>
          </rPr>
          <t>Claudia Orduy:</t>
        </r>
        <r>
          <rPr>
            <sz val="9"/>
            <color indexed="81"/>
            <rFont val="Tahoma"/>
            <family val="2"/>
          </rPr>
          <t xml:space="preserve">
recrodar que escala vale solo va hasta los 12 años</t>
        </r>
      </text>
    </comment>
    <comment ref="C48" authorId="1" shapeId="0" xr:uid="{00000000-0006-0000-0300-00000B000000}">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C53" authorId="1" shapeId="0" xr:uid="{00000000-0006-0000-0300-00000C000000}">
      <text>
        <r>
          <rPr>
            <b/>
            <sz val="9"/>
            <color indexed="81"/>
            <rFont val="Tahoma"/>
            <family val="2"/>
          </rPr>
          <t>Claudia Orduy:</t>
        </r>
        <r>
          <rPr>
            <sz val="9"/>
            <color indexed="81"/>
            <rFont val="Tahoma"/>
            <family val="2"/>
          </rPr>
          <t xml:space="preserve">
este Iten sugerido no es oblgtorio al no ser que este identificado</t>
        </r>
      </text>
    </comment>
    <comment ref="C54" authorId="1" shapeId="0" xr:uid="{00000000-0006-0000-0300-00000D000000}">
      <text>
        <r>
          <rPr>
            <b/>
            <sz val="9"/>
            <color indexed="81"/>
            <rFont val="Tahoma"/>
            <family val="2"/>
          </rPr>
          <t>Claudia Orduy:</t>
        </r>
        <r>
          <rPr>
            <sz val="9"/>
            <color indexed="81"/>
            <rFont val="Tahoma"/>
            <family val="2"/>
          </rPr>
          <t xml:space="preserve">
este Iten sugerido no es oblgtorio al no ser que este identificado</t>
        </r>
      </text>
    </comment>
    <comment ref="C55" authorId="1" shapeId="0" xr:uid="{00000000-0006-0000-0300-00000E000000}">
      <text>
        <r>
          <rPr>
            <b/>
            <sz val="9"/>
            <color indexed="81"/>
            <rFont val="Tahoma"/>
            <family val="2"/>
          </rPr>
          <t>Claudia Orduy:</t>
        </r>
        <r>
          <rPr>
            <sz val="9"/>
            <color indexed="81"/>
            <rFont val="Tahoma"/>
            <family val="2"/>
          </rPr>
          <t xml:space="preserve">
este Iten sugerido no es oblgtorio, al no ser que este identificado</t>
        </r>
      </text>
    </comment>
    <comment ref="B76" authorId="1" shapeId="0" xr:uid="{00000000-0006-0000-0300-00000F000000}">
      <text>
        <r>
          <rPr>
            <b/>
            <sz val="9"/>
            <color indexed="81"/>
            <rFont val="Tahoma"/>
            <family val="2"/>
          </rPr>
          <t>Claudia Orduy:</t>
        </r>
        <r>
          <rPr>
            <sz val="9"/>
            <color indexed="81"/>
            <rFont val="Tahoma"/>
            <family val="2"/>
          </rPr>
          <t xml:space="preserve">
cruzar con 2465-doliente jose david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5" authorId="0" shapeId="0" xr:uid="{00000000-0006-0000-0400-000001000000}">
      <text>
        <r>
          <rPr>
            <sz val="9"/>
            <color indexed="81"/>
            <rFont val="Tahoma"/>
            <family val="2"/>
          </rPr>
          <t xml:space="preserve">REGISTRAR 1 EN CASO DE CUMPLIMIENTO </t>
        </r>
      </text>
    </comment>
    <comment ref="G15" authorId="0" shapeId="0" xr:uid="{00000000-0006-0000-0400-000002000000}">
      <text>
        <r>
          <rPr>
            <sz val="9"/>
            <color indexed="81"/>
            <rFont val="Tahoma"/>
            <family val="2"/>
          </rPr>
          <t xml:space="preserve">REGISTRARCERO SI NO CUMPLE 
</t>
        </r>
      </text>
    </comment>
    <comment ref="C43" authorId="1" shapeId="0" xr:uid="{00000000-0006-0000-0400-000007000000}">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C47" authorId="1" shapeId="0" xr:uid="{00000000-0006-0000-0400-000008000000}">
      <text>
        <r>
          <rPr>
            <b/>
            <sz val="9"/>
            <color indexed="81"/>
            <rFont val="Tahoma"/>
            <family val="2"/>
          </rPr>
          <t>Claudia Orduy:</t>
        </r>
        <r>
          <rPr>
            <sz val="9"/>
            <color indexed="81"/>
            <rFont val="Tahoma"/>
            <family val="2"/>
          </rPr>
          <t xml:space="preserve">
este Iten sugerido no es oblgtorio al no ser que este identificado</t>
        </r>
      </text>
    </comment>
    <comment ref="C48" authorId="1" shapeId="0" xr:uid="{00000000-0006-0000-0400-000009000000}">
      <text>
        <r>
          <rPr>
            <b/>
            <sz val="9"/>
            <color indexed="81"/>
            <rFont val="Tahoma"/>
            <family val="2"/>
          </rPr>
          <t>Claudia Orduy:</t>
        </r>
        <r>
          <rPr>
            <sz val="9"/>
            <color indexed="81"/>
            <rFont val="Tahoma"/>
            <family val="2"/>
          </rPr>
          <t xml:space="preserve">
este Iten sugerido no es oblgtorio al no ser que este identificado</t>
        </r>
      </text>
    </comment>
    <comment ref="C49" authorId="1" shapeId="0" xr:uid="{00000000-0006-0000-0400-00000A000000}">
      <text>
        <r>
          <rPr>
            <b/>
            <sz val="9"/>
            <color indexed="81"/>
            <rFont val="Tahoma"/>
            <family val="2"/>
          </rPr>
          <t>Claudia Orduy:</t>
        </r>
        <r>
          <rPr>
            <sz val="9"/>
            <color indexed="81"/>
            <rFont val="Tahoma"/>
            <family val="2"/>
          </rPr>
          <t xml:space="preserve">
este Iten sugerido no es oblgtorio al no ser que este identificado</t>
        </r>
      </text>
    </comment>
    <comment ref="C50" authorId="1" shapeId="0" xr:uid="{00000000-0006-0000-0400-00000B000000}">
      <text>
        <r>
          <rPr>
            <b/>
            <sz val="9"/>
            <color indexed="81"/>
            <rFont val="Tahoma"/>
            <family val="2"/>
          </rPr>
          <t>Claudia Orduy:</t>
        </r>
        <r>
          <rPr>
            <sz val="9"/>
            <color indexed="81"/>
            <rFont val="Tahoma"/>
            <family val="2"/>
          </rPr>
          <t xml:space="preserve">
este Iten sugerido no es oblgtorio al no ser que este identificado</t>
        </r>
      </text>
    </comment>
    <comment ref="B73" authorId="1" shapeId="0" xr:uid="{00000000-0006-0000-0400-00000C000000}">
      <text>
        <r>
          <rPr>
            <b/>
            <sz val="9"/>
            <color indexed="81"/>
            <rFont val="Tahoma"/>
            <family val="2"/>
          </rPr>
          <t>Claudia Orduy:</t>
        </r>
        <r>
          <rPr>
            <sz val="9"/>
            <color indexed="81"/>
            <rFont val="Tahoma"/>
            <family val="2"/>
          </rPr>
          <t xml:space="preserve">
tener presente que la que resolucion 3280, nos dice que se debe tener tamizaje de cancer uterino de obligatorio cumplimiento , no importa la prueba</t>
        </r>
      </text>
    </comment>
    <comment ref="B74" authorId="1" shapeId="0" xr:uid="{00000000-0006-0000-0400-00000D000000}">
      <text>
        <r>
          <rPr>
            <b/>
            <sz val="9"/>
            <color indexed="81"/>
            <rFont val="Tahoma"/>
            <family val="2"/>
          </rPr>
          <t>Claudia Orduy:</t>
        </r>
        <r>
          <rPr>
            <sz val="9"/>
            <color indexed="81"/>
            <rFont val="Tahoma"/>
            <family val="2"/>
          </rPr>
          <t xml:space="preserve">
este inte es según hallazgos, y se va para la ruta de cancer</t>
        </r>
      </text>
    </comment>
    <comment ref="B75" authorId="1" shapeId="0" xr:uid="{00000000-0006-0000-0400-00000E000000}">
      <text>
        <r>
          <rPr>
            <b/>
            <sz val="9"/>
            <color indexed="81"/>
            <rFont val="Tahoma"/>
            <family val="2"/>
          </rPr>
          <t>Claudia Orduy:</t>
        </r>
        <r>
          <rPr>
            <sz val="9"/>
            <color indexed="81"/>
            <rFont val="Tahoma"/>
            <family val="2"/>
          </rPr>
          <t xml:space="preserve">
este inte es según hallazgos, y se va para la ruta de cancer</t>
        </r>
      </text>
    </comment>
    <comment ref="B76" authorId="1" shapeId="0" xr:uid="{00000000-0006-0000-0400-00000F000000}">
      <text>
        <r>
          <rPr>
            <b/>
            <sz val="9"/>
            <color indexed="81"/>
            <rFont val="Tahoma"/>
            <family val="2"/>
          </rPr>
          <t>Claudia Orduy:</t>
        </r>
        <r>
          <rPr>
            <sz val="9"/>
            <color indexed="81"/>
            <rFont val="Tahoma"/>
            <family val="2"/>
          </rPr>
          <t xml:space="preserve">
 tener presente que hepatitis C, solo se toma a los nacidos antes de 1996</t>
        </r>
      </text>
    </comment>
    <comment ref="B84" authorId="1" shapeId="0" xr:uid="{00000000-0006-0000-0400-000010000000}">
      <text>
        <r>
          <rPr>
            <b/>
            <sz val="9"/>
            <color indexed="81"/>
            <rFont val="Tahoma"/>
            <family val="2"/>
          </rPr>
          <t>Claudia Orduy:</t>
        </r>
        <r>
          <rPr>
            <sz val="9"/>
            <color indexed="81"/>
            <rFont val="Tahoma"/>
            <family val="2"/>
          </rPr>
          <t xml:space="preserve">
cruzar con 2465-doliente jose davida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6" authorId="0" shapeId="0" xr:uid="{538C307A-5D65-4D4C-905E-1B1133345601}">
      <text>
        <r>
          <rPr>
            <sz val="9"/>
            <color indexed="81"/>
            <rFont val="Tahoma"/>
            <family val="2"/>
          </rPr>
          <t xml:space="preserve">REGISTRAR 1 EN CASO DE CUMPLIMIENTO </t>
        </r>
      </text>
    </comment>
    <comment ref="G16" authorId="0" shapeId="0" xr:uid="{54B2D0C4-4BAB-499D-8BCE-CED6EE476D81}">
      <text>
        <r>
          <rPr>
            <sz val="9"/>
            <color indexed="81"/>
            <rFont val="Tahoma"/>
            <family val="2"/>
          </rPr>
          <t xml:space="preserve">REGISTRARCERO SI NO CUMPLE 
</t>
        </r>
      </text>
    </comment>
    <comment ref="B27" authorId="1" shapeId="0" xr:uid="{35CDBFBF-6D35-49DD-9826-1009F76C5E67}">
      <text>
        <r>
          <rPr>
            <b/>
            <sz val="9"/>
            <color indexed="81"/>
            <rFont val="Tahoma"/>
            <family val="2"/>
          </rPr>
          <t>Claudia Orduy:</t>
        </r>
        <r>
          <rPr>
            <sz val="9"/>
            <color indexed="81"/>
            <rFont val="Tahoma"/>
            <family val="2"/>
          </rPr>
          <t xml:space="preserve">
validar alcoho, tabaco y spa</t>
        </r>
      </text>
    </comment>
    <comment ref="B32" authorId="1" shapeId="0" xr:uid="{ED717362-9C5B-4571-ACD5-C3F3160F4D4F}">
      <text>
        <r>
          <rPr>
            <b/>
            <sz val="9"/>
            <color indexed="81"/>
            <rFont val="Tahoma"/>
            <family val="2"/>
          </rPr>
          <t>Claudia Orduy:</t>
        </r>
        <r>
          <rPr>
            <sz val="9"/>
            <color indexed="81"/>
            <rFont val="Tahoma"/>
            <family val="2"/>
          </rPr>
          <t xml:space="preserve">
Item sugerido </t>
        </r>
      </text>
    </comment>
    <comment ref="C40" authorId="1" shapeId="0" xr:uid="{535BA530-A479-4057-A1D1-EA86D9A20E10}">
      <text>
        <r>
          <rPr>
            <b/>
            <sz val="9"/>
            <color indexed="81"/>
            <rFont val="Tahoma"/>
            <family val="2"/>
          </rPr>
          <t>Claudia Orduy:</t>
        </r>
        <r>
          <rPr>
            <sz val="9"/>
            <color indexed="81"/>
            <rFont val="Tahoma"/>
            <family val="2"/>
          </rPr>
          <t xml:space="preserve">
tener presnte que las IPS no realizan entrega de insumo </t>
        </r>
      </text>
    </comment>
    <comment ref="C47" authorId="1" shapeId="0" xr:uid="{9EB04542-122F-475C-B49D-5DEC70DC0555}">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C53" authorId="1" shapeId="0" xr:uid="{095A262B-6585-4143-BC70-67D86184BCEE}">
      <text>
        <r>
          <rPr>
            <b/>
            <sz val="9"/>
            <color indexed="81"/>
            <rFont val="Tahoma"/>
            <family val="2"/>
          </rPr>
          <t>Claudia Orduy:</t>
        </r>
        <r>
          <rPr>
            <sz val="9"/>
            <color indexed="81"/>
            <rFont val="Tahoma"/>
            <family val="2"/>
          </rPr>
          <t xml:space="preserve">
se evaluan en antecedentes personales</t>
        </r>
      </text>
    </comment>
    <comment ref="C62" authorId="1" shapeId="0" xr:uid="{8053B1D1-B2BE-4BE0-B69C-CD318B42C6C5}">
      <text>
        <r>
          <rPr>
            <b/>
            <sz val="9"/>
            <color indexed="81"/>
            <rFont val="Tahoma"/>
            <family val="2"/>
          </rPr>
          <t>Claudia Orduy:</t>
        </r>
        <r>
          <rPr>
            <sz val="9"/>
            <color indexed="81"/>
            <rFont val="Tahoma"/>
            <family val="2"/>
          </rPr>
          <t xml:space="preserve">
tener presente que normativamente y de obligatorio cumplimiento se evalua con APGAR</t>
        </r>
      </text>
    </comment>
    <comment ref="B72" authorId="1" shapeId="0" xr:uid="{F14F7A5B-FF6F-472A-A3D7-881EC2EBABF9}">
      <text>
        <r>
          <rPr>
            <b/>
            <sz val="9"/>
            <color indexed="81"/>
            <rFont val="Tahoma"/>
            <family val="2"/>
          </rPr>
          <t>Claudia Orduy:</t>
        </r>
        <r>
          <rPr>
            <sz val="9"/>
            <color indexed="81"/>
            <rFont val="Tahoma"/>
            <family val="2"/>
          </rPr>
          <t xml:space="preserve">
deacuerdo a la circular </t>
        </r>
      </text>
    </comment>
    <comment ref="B73" authorId="1" shapeId="0" xr:uid="{A02479AF-870E-4AD9-B49C-29E1146CCB2B}">
      <text>
        <r>
          <rPr>
            <b/>
            <sz val="9"/>
            <color indexed="81"/>
            <rFont val="Tahoma"/>
            <family val="2"/>
          </rPr>
          <t>Claudia Orduy:</t>
        </r>
        <r>
          <rPr>
            <sz val="9"/>
            <color indexed="81"/>
            <rFont val="Tahoma"/>
            <family val="2"/>
          </rPr>
          <t xml:space="preserve">
este inte es según hallazgos, y se va para la ruta de cancer</t>
        </r>
      </text>
    </comment>
    <comment ref="B74" authorId="1" shapeId="0" xr:uid="{060DBD67-41B9-44F9-931E-0672FA60A33A}">
      <text>
        <r>
          <rPr>
            <b/>
            <sz val="9"/>
            <color indexed="81"/>
            <rFont val="Tahoma"/>
            <family val="2"/>
          </rPr>
          <t>Claudia Orduy:</t>
        </r>
        <r>
          <rPr>
            <sz val="9"/>
            <color indexed="81"/>
            <rFont val="Tahoma"/>
            <family val="2"/>
          </rPr>
          <t xml:space="preserve">
este inte es según hallazgos, y se va para la ruta de cancer</t>
        </r>
      </text>
    </comment>
    <comment ref="B77" authorId="1" shapeId="0" xr:uid="{8704FE57-74C3-490C-9994-2708BE3164E0}">
      <text>
        <r>
          <rPr>
            <b/>
            <sz val="9"/>
            <color indexed="81"/>
            <rFont val="Tahoma"/>
            <family val="2"/>
          </rPr>
          <t>Claudia Orduy:</t>
        </r>
        <r>
          <rPr>
            <sz val="9"/>
            <color indexed="81"/>
            <rFont val="Tahoma"/>
            <family val="2"/>
          </rPr>
          <t xml:space="preserve">
este inte es según hallazgos, y se va para la ruta de cancer</t>
        </r>
      </text>
    </comment>
    <comment ref="B80" authorId="1" shapeId="0" xr:uid="{C4225828-BE2E-4FB2-9631-C580E3CDDEE2}">
      <text>
        <r>
          <rPr>
            <b/>
            <sz val="9"/>
            <color indexed="81"/>
            <rFont val="Tahoma"/>
            <family val="2"/>
          </rPr>
          <t>Claudia Orduy:</t>
        </r>
        <r>
          <rPr>
            <sz val="9"/>
            <color indexed="81"/>
            <rFont val="Tahoma"/>
            <family val="2"/>
          </rPr>
          <t xml:space="preserve">
este inte es según hallazgos, y se va para la ruta de cancer</t>
        </r>
      </text>
    </comment>
    <comment ref="B81" authorId="1" shapeId="0" xr:uid="{3CFEA8FF-EFCE-45B2-99E4-CE483CD53145}">
      <text>
        <r>
          <rPr>
            <b/>
            <sz val="9"/>
            <color indexed="81"/>
            <rFont val="Tahoma"/>
            <family val="2"/>
          </rPr>
          <t>Claudia Orduy:</t>
        </r>
        <r>
          <rPr>
            <sz val="9"/>
            <color indexed="81"/>
            <rFont val="Tahoma"/>
            <family val="2"/>
          </rPr>
          <t xml:space="preserve">
SANGRE OCULTA EN MATERIA FECAL CUALQUIERA DE LAS 2 FORMA SIRVE, PERO ES IMPORTANTE TENER PRESENTE QUE EN LAS IPS SE REALIZA MATERIA FECAL SERIADO, Y LA PRUEBA DE INMUNOQUIMICA  ES NO CAPITA REQUIERE AUTORIZCION POR LA EPS</t>
        </r>
      </text>
    </comment>
    <comment ref="B83" authorId="1" shapeId="0" xr:uid="{235C2999-4461-4F06-AC97-751375D368A6}">
      <text>
        <r>
          <rPr>
            <b/>
            <sz val="9"/>
            <color indexed="81"/>
            <rFont val="Tahoma"/>
            <family val="2"/>
          </rPr>
          <t>Claudia Orduy:</t>
        </r>
        <r>
          <rPr>
            <sz val="9"/>
            <color indexed="81"/>
            <rFont val="Tahoma"/>
            <family val="2"/>
          </rPr>
          <t xml:space="preserve">
este inte es según hallazgos, y se va para la ruta de cancer</t>
        </r>
      </text>
    </comment>
    <comment ref="B93" authorId="1" shapeId="0" xr:uid="{982C570F-12CE-4B5F-B67E-53A6DAB7C94A}">
      <text>
        <r>
          <rPr>
            <b/>
            <sz val="9"/>
            <color indexed="81"/>
            <rFont val="Tahoma"/>
            <family val="2"/>
          </rPr>
          <t>Claudia Orduy:</t>
        </r>
        <r>
          <rPr>
            <sz val="9"/>
            <color indexed="81"/>
            <rFont val="Tahoma"/>
            <family val="2"/>
          </rPr>
          <t xml:space="preserve">
cruzar con 2465-doliente jose david</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CLAUDIA MARCELA OSPINA ROA</author>
    <author>Claudia Orduy</author>
  </authors>
  <commentList>
    <comment ref="F14" authorId="0" shapeId="0" xr:uid="{B9C85E88-D91B-4E8A-9E61-2BBD4745D531}">
      <text>
        <r>
          <rPr>
            <sz val="9"/>
            <color indexed="81"/>
            <rFont val="Tahoma"/>
            <family val="2"/>
          </rPr>
          <t xml:space="preserve">REGISTRAR 1 EN CASO DE CUMPLIMIENTO </t>
        </r>
      </text>
    </comment>
    <comment ref="G14" authorId="0" shapeId="0" xr:uid="{134CF35B-2855-4759-BFA5-AD75A56D1AE7}">
      <text>
        <r>
          <rPr>
            <sz val="9"/>
            <color indexed="81"/>
            <rFont val="Tahoma"/>
            <family val="2"/>
          </rPr>
          <t xml:space="preserve">REGISTRARCERO SI NO CUMPLE 
</t>
        </r>
      </text>
    </comment>
    <comment ref="B23" authorId="1" shapeId="0" xr:uid="{C6279AD7-1AF8-4C91-9012-93FC01B5799B}">
      <text>
        <r>
          <rPr>
            <b/>
            <sz val="9"/>
            <color indexed="81"/>
            <rFont val="Tahoma"/>
            <family val="2"/>
          </rPr>
          <t>Claudia Orduy:</t>
        </r>
        <r>
          <rPr>
            <sz val="9"/>
            <color indexed="81"/>
            <rFont val="Tahoma"/>
            <family val="2"/>
          </rPr>
          <t xml:space="preserve">
TENER PRESENTE QUE SE EVALUAN CON ESCALAS DE VALORACION BARTHEL,LAWTON BRODY,TEST DE LIND FRIED Y MINIMENTL SON ESCALAS DE MEDICON DE FUNCIONALIDAD Y PERMITE VALIDAR ESTOS SINDROMES GREATRICOS.</t>
        </r>
      </text>
    </comment>
    <comment ref="B32" authorId="1" shapeId="0" xr:uid="{D21739C0-2872-4FA7-96BB-1692126078F6}">
      <text>
        <r>
          <rPr>
            <b/>
            <sz val="9"/>
            <color indexed="81"/>
            <rFont val="Tahoma"/>
            <family val="2"/>
          </rPr>
          <t>Claudia Orduy:</t>
        </r>
        <r>
          <rPr>
            <sz val="9"/>
            <color indexed="81"/>
            <rFont val="Tahoma"/>
            <family val="2"/>
          </rPr>
          <t xml:space="preserve">
ITEM SUGERIDO ,NO ES DE OBLIGATORIO CUMPLIMIENTO</t>
        </r>
      </text>
    </comment>
    <comment ref="C36" authorId="1" shapeId="0" xr:uid="{EDCB58BA-018F-4A11-9B59-4ABBD3396F6C}">
      <text>
        <r>
          <rPr>
            <b/>
            <sz val="9"/>
            <color indexed="81"/>
            <rFont val="Tahoma"/>
            <family val="2"/>
          </rPr>
          <t>Claudia Orduy:</t>
        </r>
        <r>
          <rPr>
            <sz val="9"/>
            <color indexed="81"/>
            <rFont val="Tahoma"/>
            <family val="2"/>
          </rPr>
          <t xml:space="preserve">
estos tres itemes se evaluan con las escalas de funcionalidad</t>
        </r>
      </text>
    </comment>
    <comment ref="C53" authorId="1" shapeId="0" xr:uid="{BC9DA584-47B3-47FD-AA57-CD18358037D3}">
      <text>
        <r>
          <rPr>
            <b/>
            <sz val="9"/>
            <color indexed="81"/>
            <rFont val="Tahoma"/>
            <family val="2"/>
          </rPr>
          <t>Claudia Orduy:</t>
        </r>
        <r>
          <rPr>
            <sz val="9"/>
            <color indexed="81"/>
            <rFont val="Tahoma"/>
            <family val="2"/>
          </rPr>
          <t xml:space="preserve">
para evaluar la atencion del curso de vida se debe solictar la historia clinica odontologica del paciente , identicando los componentes a evaluar en el instrumentos,Dra Adriana audita este compenten con la misma historia del paciente trazador, solo que se solicta el folio de odontologia y evalua estos componentes. </t>
        </r>
      </text>
    </comment>
    <comment ref="C59" authorId="1" shapeId="0" xr:uid="{59B69629-F450-4F18-9A13-0FF8C47E9CBC}">
      <text>
        <r>
          <rPr>
            <b/>
            <sz val="9"/>
            <color indexed="81"/>
            <rFont val="Tahoma"/>
            <family val="2"/>
          </rPr>
          <t>Claudia Orduy:</t>
        </r>
        <r>
          <rPr>
            <sz val="9"/>
            <color indexed="81"/>
            <rFont val="Tahoma"/>
            <family val="2"/>
          </rPr>
          <t xml:space="preserve">
se evaluan en antecedentes personales</t>
        </r>
      </text>
    </comment>
    <comment ref="C70" authorId="1" shapeId="0" xr:uid="{91BBE5C6-2AAD-41B1-8D6F-9ACD4E4D44F4}">
      <text>
        <r>
          <rPr>
            <b/>
            <sz val="9"/>
            <color indexed="81"/>
            <rFont val="Tahoma"/>
            <family val="2"/>
          </rPr>
          <t>Claudia Orduy:</t>
        </r>
        <r>
          <rPr>
            <sz val="9"/>
            <color indexed="81"/>
            <rFont val="Tahoma"/>
            <family val="2"/>
          </rPr>
          <t xml:space="preserve">
item sugerido, no es de obligatorio cumplimiento</t>
        </r>
      </text>
    </comment>
    <comment ref="C71" authorId="1" shapeId="0" xr:uid="{EA3043DE-B615-4AD4-9066-A56C997FBE5B}">
      <text>
        <r>
          <rPr>
            <b/>
            <sz val="9"/>
            <color indexed="81"/>
            <rFont val="Tahoma"/>
            <family val="2"/>
          </rPr>
          <t>Claudia Orduy:</t>
        </r>
        <r>
          <rPr>
            <sz val="9"/>
            <color indexed="81"/>
            <rFont val="Tahoma"/>
            <family val="2"/>
          </rPr>
          <t xml:space="preserve">
Claudia Orduy:
tener presente que normativamente y de obligatorio cumplimiento se evalua con APGAR</t>
        </r>
      </text>
    </comment>
    <comment ref="B82" authorId="1" shapeId="0" xr:uid="{DA1F190A-1A17-4567-B5A8-FFAA4975C70C}">
      <text>
        <r>
          <rPr>
            <b/>
            <sz val="9"/>
            <color indexed="81"/>
            <rFont val="Tahoma"/>
            <family val="2"/>
          </rPr>
          <t>Claudia Orduy:</t>
        </r>
        <r>
          <rPr>
            <sz val="9"/>
            <color indexed="81"/>
            <rFont val="Tahoma"/>
            <family val="2"/>
          </rPr>
          <t xml:space="preserve">
importante tener presente que si la paciente presento ca de cuello uterino se continua tamizaje por diez años  </t>
        </r>
      </text>
    </comment>
    <comment ref="B83" authorId="1" shapeId="0" xr:uid="{CF004BAE-2B0F-434A-8DEE-930D075ECBEC}">
      <text>
        <r>
          <rPr>
            <b/>
            <sz val="9"/>
            <color indexed="81"/>
            <rFont val="Tahoma"/>
            <family val="2"/>
          </rPr>
          <t>Claudia Orduy:</t>
        </r>
        <r>
          <rPr>
            <sz val="9"/>
            <color indexed="81"/>
            <rFont val="Tahoma"/>
            <family val="2"/>
          </rPr>
          <t xml:space="preserve">
este inte es según hallazgos, y se va para la ruta de cancer</t>
        </r>
      </text>
    </comment>
    <comment ref="B84" authorId="1" shapeId="0" xr:uid="{54AD6E03-B42B-45DE-AD6F-6BC6A3F3E3C8}">
      <text>
        <r>
          <rPr>
            <b/>
            <sz val="9"/>
            <color indexed="81"/>
            <rFont val="Tahoma"/>
            <family val="2"/>
          </rPr>
          <t>Claudia Orduy:</t>
        </r>
        <r>
          <rPr>
            <sz val="9"/>
            <color indexed="81"/>
            <rFont val="Tahoma"/>
            <family val="2"/>
          </rPr>
          <t xml:space="preserve">
este inte es según hallazgos, y se va para la ruta de cancer</t>
        </r>
      </text>
    </comment>
    <comment ref="B87" authorId="1" shapeId="0" xr:uid="{84DF7A00-A3DE-478F-979D-F6FA8352E75C}">
      <text>
        <r>
          <rPr>
            <b/>
            <sz val="9"/>
            <color indexed="81"/>
            <rFont val="Tahoma"/>
            <family val="2"/>
          </rPr>
          <t>Claudia Orduy:</t>
        </r>
        <r>
          <rPr>
            <sz val="9"/>
            <color indexed="81"/>
            <rFont val="Tahoma"/>
            <family val="2"/>
          </rPr>
          <t xml:space="preserve">
este inte es según hallazgos, y se va para la ruta de cancer</t>
        </r>
      </text>
    </comment>
    <comment ref="B88" authorId="1" shapeId="0" xr:uid="{928DF6A0-016D-494C-956D-6E1C44EDC832}">
      <text>
        <r>
          <rPr>
            <b/>
            <sz val="9"/>
            <color indexed="81"/>
            <rFont val="Tahoma"/>
            <family val="2"/>
          </rPr>
          <t>Claudia Orduy:</t>
        </r>
        <r>
          <rPr>
            <sz val="9"/>
            <color indexed="81"/>
            <rFont val="Tahoma"/>
            <family val="2"/>
          </rPr>
          <t xml:space="preserve">
si el paciente tiene una esperanza de vida mayor a 10 años  , se sigue tamizando </t>
        </r>
      </text>
    </comment>
    <comment ref="B90" authorId="1" shapeId="0" xr:uid="{6A4F0452-9851-4502-8399-A578A1CBEBD0}">
      <text>
        <r>
          <rPr>
            <b/>
            <sz val="9"/>
            <color indexed="81"/>
            <rFont val="Tahoma"/>
            <family val="2"/>
          </rPr>
          <t>Claudia Orduy:</t>
        </r>
        <r>
          <rPr>
            <sz val="9"/>
            <color indexed="81"/>
            <rFont val="Tahoma"/>
            <family val="2"/>
          </rPr>
          <t xml:space="preserve">
este inte es según hallazgos, y se va para la ruta de cancer</t>
        </r>
      </text>
    </comment>
    <comment ref="B93" authorId="1" shapeId="0" xr:uid="{7F9C835C-9E85-4F40-AC32-C94572423A18}">
      <text>
        <r>
          <rPr>
            <b/>
            <sz val="9"/>
            <color indexed="81"/>
            <rFont val="Tahoma"/>
            <family val="2"/>
          </rPr>
          <t>Claudia Orduy:</t>
        </r>
        <r>
          <rPr>
            <sz val="9"/>
            <color indexed="81"/>
            <rFont val="Tahoma"/>
            <family val="2"/>
          </rPr>
          <t xml:space="preserve">
este inte es según hallazgos, y se va para la ruta de cancer</t>
        </r>
      </text>
    </comment>
    <comment ref="B102" authorId="1" shapeId="0" xr:uid="{D8C9429C-7A5A-4A93-A677-F40F940AB1FC}">
      <text>
        <r>
          <rPr>
            <b/>
            <sz val="9"/>
            <color indexed="81"/>
            <rFont val="Tahoma"/>
            <family val="2"/>
          </rPr>
          <t>Claudia Orduy:</t>
        </r>
        <r>
          <rPr>
            <sz val="9"/>
            <color indexed="81"/>
            <rFont val="Tahoma"/>
            <family val="2"/>
          </rPr>
          <t xml:space="preserve">
cruzar con 2465-doliente jose david</t>
        </r>
      </text>
    </comment>
  </commentList>
</comments>
</file>

<file path=xl/sharedStrings.xml><?xml version="1.0" encoding="utf-8"?>
<sst xmlns="http://schemas.openxmlformats.org/spreadsheetml/2006/main" count="1111" uniqueCount="581">
  <si>
    <t>OBSERVACIONES</t>
  </si>
  <si>
    <t xml:space="preserve">UNIDAD AMBULATORIA  </t>
  </si>
  <si>
    <t>CRITERIOS DE CALIFICACION</t>
  </si>
  <si>
    <t xml:space="preserve">FECHA DE EVALUACIÓN </t>
  </si>
  <si>
    <t>CUMPLE</t>
  </si>
  <si>
    <t>NO CUMPLE</t>
  </si>
  <si>
    <t>NO APLICA</t>
  </si>
  <si>
    <t xml:space="preserve">NOMBRE DEL  PROFESIONAL </t>
  </si>
  <si>
    <t>ASPECTO EVALUADO</t>
  </si>
  <si>
    <t>CC:</t>
  </si>
  <si>
    <t>FECHA:</t>
  </si>
  <si>
    <t>EDAD:</t>
  </si>
  <si>
    <t>SEXO:</t>
  </si>
  <si>
    <t xml:space="preserve">CUMPLE </t>
  </si>
  <si>
    <t xml:space="preserve">CALIFICACION TOTAL </t>
  </si>
  <si>
    <t>La IPS   que  Cumple  y  requiere mantenimiento  en  la calidad del  programa</t>
  </si>
  <si>
    <t xml:space="preserve">LA IPS  cumple  de manera parcial y requiere de manera prioritariagenerar   acciones de mejora  para adherirse a los lineamientos de atencion </t>
  </si>
  <si>
    <t>Muy crítico  igual o menor al 50%</t>
  </si>
  <si>
    <t xml:space="preserve">LA IPS no  cumple y requiere de manera urgente reestructurar  acciones de mejora  para adherirse a los lineamientos de atencion </t>
  </si>
  <si>
    <t>EXAMEN FISICO</t>
  </si>
  <si>
    <t>Satisfactorio del 85% al 100%</t>
  </si>
  <si>
    <t>Aceptable 70% al 84%</t>
  </si>
  <si>
    <t>La IPS requiere intensificar el  mejoramiento de los aspectos deficientes identificados en el programa</t>
  </si>
  <si>
    <t>Crítico: Entre 50%-69%</t>
  </si>
  <si>
    <t>PROCENTAJE A CALIFICAR</t>
  </si>
  <si>
    <t>PROCENATAJE DE CUMPLIMENTO</t>
  </si>
  <si>
    <t>EVALUACION DE ADHERENCIA A HISTORIA CLINICA</t>
  </si>
  <si>
    <t xml:space="preserve">EVALUACION  DE  HISTORIA CLINICA  POR CURSO  DE VIDA </t>
  </si>
  <si>
    <t xml:space="preserve">ADULTEZ ( 29-59)  </t>
  </si>
  <si>
    <t xml:space="preserve">EDAD: </t>
  </si>
  <si>
    <t>NO  APLICA</t>
  </si>
  <si>
    <t xml:space="preserve">1. Perfil profesional encargado de la consulta de valoración integral </t>
  </si>
  <si>
    <t>Atención en salud por medicina general o especialista en medicina familiar realizado en el último año.</t>
  </si>
  <si>
    <t xml:space="preserve">2. Valoración de antecedentes y aspectos relacionados con el enfoque Diferencial </t>
  </si>
  <si>
    <t xml:space="preserve">Valoración pertenencia grupos etnicos/ uso de medicina ancestral </t>
  </si>
  <si>
    <t>Pertenencia a población LGBTIQ+,Migrantes, Privados de la libertad, victimas del conflicto armado y discapcidad</t>
  </si>
  <si>
    <t>Valoración de antecedentes medicos, quirurgicos, Traumaticos, alergicos y medicamentosos , transfucionales, hospitalarios</t>
  </si>
  <si>
    <t>Valoracion de  antecedentes personales</t>
  </si>
  <si>
    <t>Valoración exposición al humo de tabaco, consumo de sustancias psicoactivas.(uso cultural / consumo frecuente)</t>
  </si>
  <si>
    <t xml:space="preserve">3. Anamnesis </t>
  </si>
  <si>
    <t>Se indagan antecedentes familiares (HTA, DM, dislipidemias, enfermedad coronaria, cáncer, enfermedades cerebrovascualres, enfermedades degenerativas, enfermedades genéticas, gota, glaucoma, enfermedades mentales.</t>
  </si>
  <si>
    <t xml:space="preserve">Se verifica la realización y los resultados de las pruebas de tamizaje para la detección temprana de riesgo cardiovascular y de cáncer de cuello uterino, cáncer de mama, cáncer de prostata, cáncer de colon y recto. </t>
  </si>
  <si>
    <t>Se indaga sobre el ejercicio de los derechos sexuales y reproductivos y la vivencia de la sexualidad en sus diferentes componentes teniendo en cuenta el enfoque cultural</t>
  </si>
  <si>
    <t>Se indaga por el consumo de tabaco.(recreativo/ cultural)</t>
  </si>
  <si>
    <t>Se indaga por el consumo de alcohol.</t>
  </si>
  <si>
    <t>Se indaga por la realización de actividad física</t>
  </si>
  <si>
    <t xml:space="preserve">Se indaga por el Consumo y hábitos alimentarios a partir de la regularidad en el patrón de comidas, el tipo de alimentos consumidos. Identificar y detectar casos de ingesta excesiva o deficiente de calorías o nutrientes a partir de la alimentación y patrones culturales </t>
  </si>
  <si>
    <r>
      <t xml:space="preserve">Se indaga por prácticas y hábitos saludables. (Exposicón a redes, internet, hábitos de sueño, </t>
    </r>
    <r>
      <rPr>
        <sz val="12"/>
        <rFont val="Calibri"/>
        <family val="2"/>
      </rPr>
      <t>actividad física</t>
    </r>
    <r>
      <rPr>
        <sz val="12"/>
        <color theme="1"/>
        <rFont val="Calibri"/>
        <family val="2"/>
      </rPr>
      <t>, manejo del estrés, autoexámen de seno y autoexámen de testículo).</t>
    </r>
  </si>
  <si>
    <t>Identificación de situaciones de exposición a violencia interpersonal o violencia sexual.</t>
  </si>
  <si>
    <t>Se realiza tamizaje para identificar riesgo de EPOC (Indagar: Tose muchas veces la mayoría de los días, Tiene flemas o mocos la mayoría de los días, Se queda sin aire más fácilmente que otras personas de su edad, Es mayor de 40 años y Actualmente fuma o es un exfumador)</t>
  </si>
  <si>
    <t xml:space="preserve"> Evaluar el grado de satisfaccion de la funcionalidad familiar.</t>
  </si>
  <si>
    <t xml:space="preserve">Apgar familiar </t>
  </si>
  <si>
    <t>Indaga frente a la conformación del hogar y personas con las que habita.</t>
  </si>
  <si>
    <t>Seguimiento al avance en los compromisos acordados en sesiones de educación individual previas.</t>
  </si>
  <si>
    <t>4. Examen físico</t>
  </si>
  <si>
    <t>Valoración de la salud sexual</t>
  </si>
  <si>
    <t>Valoración de la funcionalidad sexual, orientación sexual, deseo, excitación, lubricación, satisfacción, erección, eyaculación, evaluar condiciones que afecten el desempeño sexual como la depresión, enfermedad cerebrovascular, enfermedad cardiaca, EPOC, diabetes mellitus, signos de violencia física y sexual.</t>
  </si>
  <si>
    <t>Evaluar las condiciones médicas que afectan la salud sexual incluyendo la depresión, la enfermedad cardíaca, enfermedad cerebrovascular, EPOC y diabetes.</t>
  </si>
  <si>
    <t>Valoracion con enfoque diferencial de practicas sexuales/identificacxion de riesgo</t>
  </si>
  <si>
    <t>Solicitud o registro de asesoría en anticoncepción</t>
  </si>
  <si>
    <t xml:space="preserve">Solicitud o registro de suministro de anticoncepción </t>
  </si>
  <si>
    <t xml:space="preserve">Valoración de la salud visual </t>
  </si>
  <si>
    <t>Examen de estructuras del ojo, la funcionlidad y la refracción.</t>
  </si>
  <si>
    <t>Registro de la oftalmoscopia</t>
  </si>
  <si>
    <t xml:space="preserve">Se realiza toma de agudeza visual </t>
  </si>
  <si>
    <t>Valoración de la salud auditiva y comunicativa</t>
  </si>
  <si>
    <t>Se realiza otoscopia</t>
  </si>
  <si>
    <t>Se realiza ATM, preguntas de percepcion de audicion, tiene o ha tenido problema en el oído?, Cree que escucha bien? y apliccion de lista de chequeo de factores de riesgo de las enfermedades del oído.</t>
  </si>
  <si>
    <t xml:space="preserve">Valoracion de la salud bucal </t>
  </si>
  <si>
    <t>cuenta con remision al servicio de odontologia</t>
  </si>
  <si>
    <t xml:space="preserve">Registra la evidencia en la consulta de atención en salud bucal por el profesional de odontología  </t>
  </si>
  <si>
    <t>Registro del seguimiento a las actividades de  Proteccion especifica y deteccion temprana</t>
  </si>
  <si>
    <t>Se evidencia el adecuado diligenciamiento de la hostoria clinica odontologica</t>
  </si>
  <si>
    <t xml:space="preserve">Valoración de la salud  mental </t>
  </si>
  <si>
    <t xml:space="preserve">Exámen mental, afrontamiento a sucesos vitales, riesgos psicosociales para violencias. </t>
  </si>
  <si>
    <t>Depresión, preguntas relacionadas</t>
  </si>
  <si>
    <t>Ansiedad, cuestionario relacionado</t>
  </si>
  <si>
    <t>Consumo de SPA.</t>
  </si>
  <si>
    <t>Consumo de alcohol.</t>
  </si>
  <si>
    <t>Cuenta con orientacion y acompañamiento en salud mental en caso de ser cuidador de persona en concicion de discapcidad.</t>
  </si>
  <si>
    <t xml:space="preserve">Idenficacion de conductas asociadas a  Epilesia </t>
  </si>
  <si>
    <t>Valoración del Riesgo cardiovascular</t>
  </si>
  <si>
    <t>Aplicación de Finnish Risk score</t>
  </si>
  <si>
    <t xml:space="preserve">Aplicación de Tablas de Estratificacion de la OMS </t>
  </si>
  <si>
    <t xml:space="preserve">Aplicación de tabla de Framinghan </t>
  </si>
  <si>
    <t xml:space="preserve">Valoración del estado nutricional </t>
  </si>
  <si>
    <t>Clasificación nutricional /antropométrica.</t>
  </si>
  <si>
    <t>Medición de peso, talla, IMC, perímetro de cintura</t>
  </si>
  <si>
    <t>Valoración del contexto social y las redes de apoyo social y comunitario.</t>
  </si>
  <si>
    <r>
      <t xml:space="preserve">Valoración del contexto social y las redes de apoyo social y comunitarias de la familia, mediante aplicación de Ecomapa </t>
    </r>
    <r>
      <rPr>
        <sz val="10"/>
        <color theme="1"/>
        <rFont val="Arial"/>
        <family val="2"/>
      </rPr>
      <t>o el instrumento adoptado por la IPS o la EAPB</t>
    </r>
  </si>
  <si>
    <t>Valoración pertenencia social y cultural que considere  de interes( cultural, social, economico, etnico)</t>
  </si>
  <si>
    <t>Valoración del estado de salud en relación con el trabajo.</t>
  </si>
  <si>
    <t xml:space="preserve"> Valoración del estado de posibles riesgos para la salud en relación con el trabajo desempeñado. (En caso de hogar,  estudio)</t>
  </si>
  <si>
    <t>Valoración del esquema de vacunación.</t>
  </si>
  <si>
    <r>
      <t xml:space="preserve">Registro de la verificación del esquema de vacunación </t>
    </r>
    <r>
      <rPr>
        <b/>
        <u/>
        <sz val="10"/>
        <color theme="1"/>
        <rFont val="Arial"/>
        <family val="2"/>
      </rPr>
      <t>o</t>
    </r>
    <r>
      <rPr>
        <sz val="10"/>
        <color theme="1"/>
        <rFont val="Arial"/>
        <family val="2"/>
      </rPr>
      <t xml:space="preserve"> Toxoide tetánico diftérico del adulto (Td) según antecedente vacunal. A partir de los 10 años.</t>
    </r>
  </si>
  <si>
    <t xml:space="preserve">Resto de exámen físico </t>
  </si>
  <si>
    <t>Se describe el resto del exámen fisico completo.</t>
  </si>
  <si>
    <t xml:space="preserve">5. Información en salud </t>
  </si>
  <si>
    <t xml:space="preserve">Entrega de informacion general </t>
  </si>
  <si>
    <t>Se dan las indicaciones según los hallazgos las necesidades identificadas en la consulta y las inquietudes o necesidades expresadas durante la consulta.</t>
  </si>
  <si>
    <t xml:space="preserve">6. Plan de cuidado </t>
  </si>
  <si>
    <t>Se verifica atención en salud bucal por profesional de odontología.</t>
  </si>
  <si>
    <t>Se remite a odontología para la atención en salud bucal.</t>
  </si>
  <si>
    <t xml:space="preserve">Se ordena tamizaje: glicemia basal, pefil lipídico, creatinina, uroanálisis. </t>
  </si>
  <si>
    <t>Tamizaje ADN VPH según esquema 1.5.5. o Tamizaje de citoligia según esquema 1.3.3</t>
  </si>
  <si>
    <t>Colposcopia según hallazgos de tamización.</t>
  </si>
  <si>
    <t>Biopsia cervico uterina según hallazgos de tamización.</t>
  </si>
  <si>
    <t xml:space="preserve">Orden de tamizaje cáncer de mama: Mamografía a partir de los 50 años. </t>
  </si>
  <si>
    <t xml:space="preserve">Tamizaje cáncer de mama (Examen clínico de mama) a partir de los 40 años. </t>
  </si>
  <si>
    <t>Biopsia de mam, según hallazgos</t>
  </si>
  <si>
    <t>Tamizaje cáncer de protata PSA apartir de los 50 años cada 5 años.</t>
  </si>
  <si>
    <t xml:space="preserve">Tamizaje ca de prostata (tacto rectal) a prtir de los 50 años cada 5 años. </t>
  </si>
  <si>
    <t>Biopsia de prostata, según hallazgos</t>
  </si>
  <si>
    <t>Tamizaje Cáncer de colon (Sangre Oculta en materia fecal por inmunoquimica) a partir de los 50 años.</t>
  </si>
  <si>
    <t>Tamizaje de colonoscopia según prueba de sangre oculta.</t>
  </si>
  <si>
    <t>Biopsia de colon según endoscopia,según hallazgos</t>
  </si>
  <si>
    <t>Se ordena consulta de anticoncepción.</t>
  </si>
  <si>
    <t>Se ordenan tamizajes pruebas rápidas (VIH, Hepatitis B, Hepatits C, treponémica).</t>
  </si>
  <si>
    <t>Se enfatiza en hábitos de vida saludable relacionados al riesgo cardiovascular (cesación de tabaco y alcohol, adecuada alimentación y actividad física)</t>
  </si>
  <si>
    <t>Se realiza educación grupal.</t>
  </si>
  <si>
    <t>Se realiza educación individual.</t>
  </si>
  <si>
    <t>Se realiza canalización según hallazgos.</t>
  </si>
  <si>
    <t>7. Dispositivos  para la atencion de la consulta</t>
  </si>
  <si>
    <t>Fonendoscopio</t>
  </si>
  <si>
    <t>Equipo de órganos</t>
  </si>
  <si>
    <t>Tensiómetro adulto</t>
  </si>
  <si>
    <t>Cinta métrica</t>
  </si>
  <si>
    <t>Pulsoxímetro</t>
  </si>
  <si>
    <t xml:space="preserve">Balanza de pie </t>
  </si>
  <si>
    <t>Tallímetro</t>
  </si>
  <si>
    <t>Optotipos morfoscópicos o angulares para agudeza visual</t>
  </si>
  <si>
    <t>Tablas de Snell</t>
  </si>
  <si>
    <t>Cartilla de Vision Cercana</t>
  </si>
  <si>
    <t>Calibración  de equipos </t>
  </si>
  <si>
    <t>VEJEZ  ( 60 AÑOS Y  MAS)</t>
  </si>
  <si>
    <t xml:space="preserve">CC: </t>
  </si>
  <si>
    <t xml:space="preserve">FECHA: </t>
  </si>
  <si>
    <t>Se indaga por antecedentes personales, médicos, metabolicos, cardiovasculares, cáncer, pulmonares, ITS, hospitalarios, transfusionales, farmacológicos, discapacidad, osteoporosis, exposición al humo de tabaco, alérgicos, quirúrgicos, consumo de sustancias psicoactivas, esquema de vacunación, comportamiento y relaciones interpersonales, conducta suicida.</t>
  </si>
  <si>
    <t>Se verifica la realización y los resultados de las pruebas de tamizaje para la detección temprana de riesgo cardiovascular y de cáncer de cuello uterino, cáncer de mama, cáncer de prostata, cáncer de colon y recto.</t>
  </si>
  <si>
    <t>Indagar sindromes geriátricos (Deterioro cognitivo, inmovilidad, inestabilidad  y caídas, fragilidad, incontinencia de esfínteres, depresión, iatrogenia).</t>
  </si>
  <si>
    <t xml:space="preserve">Se indagan antecedentes familiares. (HTA, DM, dislipidemias, enfermedad coronaria, cáncer, enfermedades cerebro vasculares, enfermedades degenerativas, enfermedades genéticas, gota, glaucoma, enfermedades mentales, conducta suicida, diversas fomas de violencia). </t>
  </si>
  <si>
    <t>Se indaga por prácticas y hábitos saludables. (Hábitos de sueño, hábito instestinal y urinario, prevención de accidentes, uso del tiempo libre y ocio, manejo del estrés).</t>
  </si>
  <si>
    <t>Identificación de situaciones de expósicion a violencia interpersonal o violencia sexual.</t>
  </si>
  <si>
    <t xml:space="preserve">Evaluar el grado de satisfacción de la funcionalidad familiar </t>
  </si>
  <si>
    <t>4. Exámen físico</t>
  </si>
  <si>
    <t xml:space="preserve">Valoracion capacidad Funcional </t>
  </si>
  <si>
    <t>Valoracion deterioro cognoscitivo</t>
  </si>
  <si>
    <t>Valoracion de movilidad e inestabilidad (caidas)</t>
  </si>
  <si>
    <r>
      <t>Valoracion de inestabilidad (caídas) y</t>
    </r>
    <r>
      <rPr>
        <sz val="12"/>
        <color rgb="FFFF0000"/>
        <rFont val="Calibri"/>
        <family val="2"/>
      </rPr>
      <t xml:space="preserve"> continencia de esfinteres.</t>
    </r>
  </si>
  <si>
    <t>TEST Minimental</t>
  </si>
  <si>
    <t>Funcionabilidad: Indice de Barthel</t>
  </si>
  <si>
    <t>Autonomía: Escala Lawton Brody</t>
  </si>
  <si>
    <t>Fragilidad: Test de Linda Fried</t>
  </si>
  <si>
    <t xml:space="preserve">Exámen de estructuras del ojo, la funcionlidad y la refracción. </t>
  </si>
  <si>
    <t>Se realiza ATM, preguntas de percepción de audicion, tiene o ha tenido problema en el oido?, Cree que escucha bien? y aplicación de lista de chequeo de factores de riesgo de las enfermedades del oído.</t>
  </si>
  <si>
    <t xml:space="preserve">Registra la evidencia en la consulta de atención en salud bucal por el profesional de odontología   </t>
  </si>
  <si>
    <t>Aplicación tamizaje Minimental (ubicación en lugar, tiempo y espacio)</t>
  </si>
  <si>
    <t>se identifica condicion  de abandono o vulnerabilidad   en el adulto mayor</t>
  </si>
  <si>
    <t>Aplicación de Finnish Risk Score.</t>
  </si>
  <si>
    <t>Aplicación de Tablas de Estratificacion de la OMS.</t>
  </si>
  <si>
    <t>Aplicación de Framinghan.</t>
  </si>
  <si>
    <t>Clasificación nutricional / antropométrica.</t>
  </si>
  <si>
    <t>En mayores de 64 años perimetro de brazos y piernas</t>
  </si>
  <si>
    <t>Registro de la verificación del esquema de vacunación incluye Influenza estacional.</t>
  </si>
  <si>
    <t>Pulsoximetria</t>
  </si>
  <si>
    <t>Orden para tamizaje glicemia basal, pefil lipídico, creatinina, uroanálisis.</t>
  </si>
  <si>
    <t>Orden de tamizaje ADN -VPH según esquema  1.5.5</t>
  </si>
  <si>
    <t>Orden de tamizaje de citologia cervico vaginal según esquema 1.3.3, hasta los 65 años, con ultimas citologias negativas</t>
  </si>
  <si>
    <t>Orden de colposcopia según hallazgos de tamización.</t>
  </si>
  <si>
    <t>Orden de biopsia cervico uterina según hallazgos de tamización.</t>
  </si>
  <si>
    <t xml:space="preserve">Orden de tamizaje de cáncer de mama, mamografía hasta los 69 años. </t>
  </si>
  <si>
    <t xml:space="preserve">Orden de tamizaje cáncer de mama, examen clínico de mama hasta los 69 años. </t>
  </si>
  <si>
    <t>Orden de biopsia de mama, según hallazgos</t>
  </si>
  <si>
    <t xml:space="preserve">Orden de tamizaje de cáncer de prostata, PSA hasta los 75 años cada 5 años. </t>
  </si>
  <si>
    <t>Orden de tamizaje de cáncer de prostata, tacto rectal hasta los 75 años cada 5 años.</t>
  </si>
  <si>
    <t>Orden de biopsia de prostata, según hallazgos</t>
  </si>
  <si>
    <t>Orden de tamizaje de cáncer de colon, sangre oculta en materia fecal por inmunoquimica, hasta los 75 años.</t>
  </si>
  <si>
    <t>Orden de tamizaje de colonocopia según prueba de sangre oculta.</t>
  </si>
  <si>
    <t>Orden de biopsia de cólon hallazgos.</t>
  </si>
  <si>
    <t>Se ordenan tamizajes, pruebas rapidas (VIH, Hepatitis B, Hepatits C, treponémica) según exposición de riesgo.</t>
  </si>
  <si>
    <t>PLAN DE CUIDADO</t>
  </si>
  <si>
    <t>Consultas de control y seguimiento</t>
  </si>
  <si>
    <t xml:space="preserve">Informa recomendacion  del  momento  para embarazarse atendiendo  el  riesgo  identificado </t>
  </si>
  <si>
    <t>Resolución 051 de 2023 ( del Ministerio de Salud y Protección Social establece las normas técnicas y los estándares constitucionales para la atención integral de la interrupción voluntaria del embarazo (IVE) )</t>
  </si>
  <si>
    <t>Informa derechos reproductivos para garantizar su derecho a decidir libremente el momento y la frecuencia de los embarazos, evitando coacción o violencia sobre sus decisiones;</t>
  </si>
  <si>
    <t>Brindar informacion   y  recomendaciones de acuerdo  a riesgos identificados</t>
  </si>
  <si>
    <t>Recomendaciones nutricionales</t>
  </si>
  <si>
    <t>Registra asesoramiento   y  provision  de metodo  anticonceptivo atendiendo  criterio  de elegibilidad y voluntad de la persona</t>
  </si>
  <si>
    <t xml:space="preserve">En caso de pertenecer a población etnica de acuerdo a su cosmovision y cosmogonia  brinde estrategias de cuidado, asi como signos y sintomas de alarma con respecto a salud sexual y reproductiva </t>
  </si>
  <si>
    <t xml:space="preserve">INFORMACION  EN SALUD </t>
  </si>
  <si>
    <t xml:space="preserve">Remite   a control de   seguimiento  a consulta preconcepcional  </t>
  </si>
  <si>
    <t xml:space="preserve">Registra  e  analisis de factores protectores, riesgos y  estado  de salud </t>
  </si>
  <si>
    <t>identifica y  registra riesgo  de Depresion  Posparto</t>
  </si>
  <si>
    <t xml:space="preserve">identifica y  registra riesgo  aumentado  de coagulopatia  o de evento  Trombotico venoso </t>
  </si>
  <si>
    <t xml:space="preserve">identifica y registra riesgo aumentado de preeclampsia  hemorragia  pos parto   o  de otra complicacion   obstetrica </t>
  </si>
  <si>
    <t xml:space="preserve">Identifica  y  registra  riesgo  aumentado  de aneuplodidia o  de malformación </t>
  </si>
  <si>
    <t xml:space="preserve">Se remite a interconsulta con  medicina especializada  </t>
  </si>
  <si>
    <t>Registra estado  de inmunizacion-Vacunación</t>
  </si>
  <si>
    <t>se remite  Trabajo social</t>
  </si>
  <si>
    <t>se remite Psicología</t>
  </si>
  <si>
    <t>se remite a  nutrición</t>
  </si>
  <si>
    <t xml:space="preserve"> se remite a  odontología</t>
  </si>
  <si>
    <t>Indicar suplementación con 0.4 mg de ácido fólico por día para la prevención de defectos del tubo neural ( La dosis para mujeres que tengan antecedentes de recién nacidos con  defectos del tubo neural debe ser de 4mg al día, que deberán ser iniciados al menos 3  meses previos a la gestación)</t>
  </si>
  <si>
    <t xml:space="preserve">PLAN INTEGRAL  DE CUIDADO  PRIMARIO </t>
  </si>
  <si>
    <t xml:space="preserve">Interpretación  del   los paraclinicos  ordenados para cosnulta preconcepcional </t>
  </si>
  <si>
    <t>Ordenamiento    y  toma de paraclinicos  para el  asesoramiento  preconcepcional 
*Antígeno superficie hepatitis B
*Tamizaje para detección temprana de cáncer de cuello uterino, de acuerdo con la edad y el ámbito territorial
* Glicemia en ayunas
* Hemoclasificación
*Hemograma
*Hemoparásitos (en zonas endémicas)
* IgG G -toxoplasma
* IgG G rubéola
* IgG G varicela
* Prueba treponémica rápida para sífilis
* Urocultivo con concentración mínima inhibitoria (CMI)
* VIH (prueba rápida), con asesoría pre y pos-test</t>
  </si>
  <si>
    <t>EXAMENES PARACLINICOS</t>
  </si>
  <si>
    <t>Realizar la valoración ginecológica completa incluida especuloscopia</t>
  </si>
  <si>
    <t>tomar medidas antropométricas (peso, talla, valorar el estado nutricional), con IMC</t>
  </si>
  <si>
    <t>Realizar Examen físico completo (cefalocaudal incluyendo  cavidad oral)</t>
  </si>
  <si>
    <t xml:space="preserve">Valoracion  de habitos  </t>
  </si>
  <si>
    <t>valoración   psicosocial</t>
  </si>
  <si>
    <t xml:space="preserve">valoración   de antecedentes Sexuales </t>
  </si>
  <si>
    <t xml:space="preserve">valoración   de antecedentes  Gineco-obstetricos </t>
  </si>
  <si>
    <t>valoración   de  antecedentes genéticos o familiares</t>
  </si>
  <si>
    <t xml:space="preserve">valoración   de antecedentes  Personales </t>
  </si>
  <si>
    <t>Valoracion de condicion de genero ( realice anamnesis ante pertenencia a población LGBTIQ+ o Diversidad,Migrantes, Privados de la libertad, victimas del conflicto armado y discapcidad</t>
  </si>
  <si>
    <t xml:space="preserve">valoración   pertenencia grupos para enfoque diferencial </t>
  </si>
  <si>
    <t xml:space="preserve"> Valoracion   de antecedentes   y aspectos  de enfoque diferencial </t>
  </si>
  <si>
    <t xml:space="preserve">Consulta de control    de cuidado    Preconcepcional </t>
  </si>
  <si>
    <t>Consulta de cuidado  Preconcepcional</t>
  </si>
  <si>
    <t xml:space="preserve"> consulta de valoración integral </t>
  </si>
  <si>
    <t>1 - EAPB  SURA CONTRIBUTIVO</t>
  </si>
  <si>
    <t xml:space="preserve">Valoración  de consulta Preconcepcional  </t>
  </si>
  <si>
    <t xml:space="preserve">ojo ingresar criterio de pospartoa // a los cuantos dias la IPS asignos cita de RN </t>
  </si>
  <si>
    <t>ojo ingresar criterio de pospartoa // a los cuantos dias le asignan a la paciente la consulta  pos parto</t>
  </si>
  <si>
    <t>Numero de sesiones de asistencia al curso de la MYP</t>
  </si>
  <si>
    <t>vacunacion desde la semana 12 para Covid, 14 para Influenza, 16 para TD, y 26 TDP acelular</t>
  </si>
  <si>
    <t>Psicología</t>
  </si>
  <si>
    <t>Trabajo social</t>
  </si>
  <si>
    <t>Nutrición</t>
  </si>
  <si>
    <t>Odontología</t>
  </si>
  <si>
    <t>Gota gruesa si gestante con factores de riesgo-</t>
  </si>
  <si>
    <t>11. SE REALIZAN VALORACIONES ADICIONALES</t>
  </si>
  <si>
    <t>Cultivo vaginorectal de estreptococo B (semana 35-37)</t>
  </si>
  <si>
    <t>Tamizaje para Chagas si gestante con factores de riesgo</t>
  </si>
  <si>
    <t>Prueba de tolerancia oral a la glucosa 75 gr ( sem 24-28)</t>
  </si>
  <si>
    <t>Glicemia</t>
  </si>
  <si>
    <t>Ecografía obstétrica</t>
  </si>
  <si>
    <t xml:space="preserve">Prueba serológica para toxoplasma IgG e IgM </t>
  </si>
  <si>
    <t>Antígeno de superficie Hepatitis B</t>
  </si>
  <si>
    <t>Prueba treponémica rápida</t>
  </si>
  <si>
    <t>Prueba rápida de VIH</t>
  </si>
  <si>
    <t>Hemoclasificación</t>
  </si>
  <si>
    <t>Urocultivo</t>
  </si>
  <si>
    <t>Cuadro hemático</t>
  </si>
  <si>
    <t>10. SE REVISAN LABORATORIOS</t>
  </si>
  <si>
    <t>Signos de alarma</t>
  </si>
  <si>
    <t>Vacunación-</t>
  </si>
  <si>
    <t>curso de la preparacion de la maternidad y paternidad</t>
  </si>
  <si>
    <t>Lactancia materna</t>
  </si>
  <si>
    <t>Información en Sentencia C 355 de 2006 (Interrupción Voluntaria del Embarazo)-Sentencia 055 de 2022</t>
  </si>
  <si>
    <t>Asesoría formal anticoncepción</t>
  </si>
  <si>
    <t>9. SE BRINDA EDUCACION</t>
  </si>
  <si>
    <t>Plan de cuidado</t>
  </si>
  <si>
    <t>Diagnóstico</t>
  </si>
  <si>
    <t>Análisis</t>
  </si>
  <si>
    <t>8. ANÁLISIS, DIAGNÓSTICO Y PLAN DE MANEJO</t>
  </si>
  <si>
    <t>Identifica riesgo de depresión posparto (semana 28)</t>
  </si>
  <si>
    <t xml:space="preserve">Indaga sobre exposición a violencia </t>
  </si>
  <si>
    <t>Clasificación de riesgo tromboembólico</t>
  </si>
  <si>
    <t>Biológico-obstétrico</t>
  </si>
  <si>
    <t>Psicosocial</t>
  </si>
  <si>
    <t xml:space="preserve">7. SE CLASIFICA RIESGO </t>
  </si>
  <si>
    <t>Curva altura uterina</t>
  </si>
  <si>
    <t>Curva peso</t>
  </si>
  <si>
    <t>6. CURVA DE PESO Y ALTURA UTERINA</t>
  </si>
  <si>
    <t>Extremidades</t>
  </si>
  <si>
    <t>Altura uterina (****)</t>
  </si>
  <si>
    <t>Fetocardia (****)</t>
  </si>
  <si>
    <t>Neurológico</t>
  </si>
  <si>
    <t xml:space="preserve">Genitourinario </t>
  </si>
  <si>
    <t>Abdomen</t>
  </si>
  <si>
    <t>Cardiopulmonar</t>
  </si>
  <si>
    <t>Cabeza y cuello</t>
  </si>
  <si>
    <t>Talla (***)</t>
  </si>
  <si>
    <t>Peso</t>
  </si>
  <si>
    <t>Signos vitales</t>
  </si>
  <si>
    <t>Estado General</t>
  </si>
  <si>
    <t>5.  HACE EXAMEN FÍSICO</t>
  </si>
  <si>
    <t>Coagulopatías (**)</t>
  </si>
  <si>
    <t>Síntomas premonitorios de preeclampsia (*)</t>
  </si>
  <si>
    <t>Movimientos fetales (*)</t>
  </si>
  <si>
    <t>Síntomas urinarios</t>
  </si>
  <si>
    <t>Características anormales de flujo vaginal</t>
  </si>
  <si>
    <t>Sangrado</t>
  </si>
  <si>
    <t>4.  DILIGENCIA EN LA HISTORIA CLÍNICA REVISIÓN POR SISTEMAS</t>
  </si>
  <si>
    <t>Tamización cáncer de cuello uterino</t>
  </si>
  <si>
    <t>Historia de descenlace obstétrico</t>
  </si>
  <si>
    <t xml:space="preserve">Formula obstétrica detallada </t>
  </si>
  <si>
    <t>Infecciones de transmisión sexual previa</t>
  </si>
  <si>
    <t>Registra si la fecha de última menstruación es confiable y se la emplea para estimar edad gestacional y fecha probable de parto</t>
  </si>
  <si>
    <t>3.  DILIGENCIA EN LA HISTORIA CLÍNICA ANTECEDENTES OBSTÉTRICOS</t>
  </si>
  <si>
    <t>se encontraba con algun metodo de plaficacion antes de la concepcion</t>
  </si>
  <si>
    <t>Ginecológicos</t>
  </si>
  <si>
    <t>Familiares</t>
  </si>
  <si>
    <t>Personales,(tener encuenta DX de salud mental)</t>
  </si>
  <si>
    <r>
      <t xml:space="preserve">2. </t>
    </r>
    <r>
      <rPr>
        <b/>
        <sz val="11"/>
        <rFont val="Calibri"/>
        <family val="2"/>
      </rPr>
      <t xml:space="preserve"> DILIGENCIAN ANTECEDENTES RELEVANTES PARA EL CUIDADO PRENATAL</t>
    </r>
    <r>
      <rPr>
        <b/>
        <sz val="11"/>
        <color indexed="8"/>
        <rFont val="Calibri"/>
        <family val="2"/>
      </rPr>
      <t xml:space="preserve"> EN LA HISTORIA CLÍNICA </t>
    </r>
  </si>
  <si>
    <t>Identifica y registra variables de enfoque diferencial,Pertenencia a población LGBTIQ+,Migrantes, Privados de la libertad, victimas del conflicto armado y discapcidad</t>
  </si>
  <si>
    <t>Se registra acompañante</t>
  </si>
  <si>
    <t>Se registra Escolaridad</t>
  </si>
  <si>
    <t>Se registra ocupación</t>
  </si>
  <si>
    <t>Se registra dirección y teléfono</t>
  </si>
  <si>
    <t>Se registra Edad</t>
  </si>
  <si>
    <t>Se registra nombre completo de la persona atendida</t>
  </si>
  <si>
    <t>1.  DILIGENCIA EN LA HISTORIA CLÍNICA IDENTIFICACIÓN</t>
  </si>
  <si>
    <t>1-EAPB SURA CONTRIBUTIVO</t>
  </si>
  <si>
    <t xml:space="preserve">Valoración  de consulta Control Prenatal </t>
  </si>
  <si>
    <t>Informar el  Uso de anticoncepción de emergencia si se presenta uno de los siguientes casos:
 Relación sexual sin uso de un método anticonceptivo, especialmente en el período fértil.
 Uso incorrecto de un método anticonceptivo.
 Ruptura, filtración, deslizamiento o retención del condón masculino.
 Desplazamiento o retiro temprano del condón masculino.
 Expulsión total o parcial del dispositivo intrauterino.
 Olvido de una o varias tabletas anticonceptivas.
 En caso de violencia sexual, si la mujer no está usando un método anticonceptivo</t>
  </si>
  <si>
    <t>En caso de pertenecer a población etnica de acuerdo a su cosmovision y cosmogonia  brinde estrategias de cuidado, asi como signos y sintomas de alarna con respecto a salud sexual y reproductiva, si llega aplicar</t>
  </si>
  <si>
    <t>Resolución 051 de 2023, si llega aplicar</t>
  </si>
  <si>
    <t>Informar sobre anticoncepción posevento obstétrico si aplica</t>
  </si>
  <si>
    <t xml:space="preserve">Importancia  del   uso  de preservativo  </t>
  </si>
  <si>
    <t>Informar sobre la Importancia de los controles y su frecuencia</t>
  </si>
  <si>
    <t>Orientar, informar y educar: Signos de alarma por los que debe consultar, Manejo en casa de posibles efectos secundarios.</t>
  </si>
  <si>
    <t xml:space="preserve">Informar sobre el conocimiento de los métodos disponibles (sin exclusión alguna) sus mecanismos de acción, ventajas, desventajas,riesgos, signos de alarma y consecuencias   de  cada  uno de  ellos </t>
  </si>
  <si>
    <t>Informar sobre Prevención de ITS -Recordar que los métodos anticonceptivos no protegen contra infecciones de trasmisión sexual, es necesario el uso de condón en toda relación sexual penetrativa como mecanismo de doble protección.</t>
  </si>
  <si>
    <t>INFORMACION  EN  SALUD</t>
  </si>
  <si>
    <t>Remision  a Tamizje de  ITS   (  si   tiene el riesgo )</t>
  </si>
  <si>
    <t xml:space="preserve"> Se evidencia remision a otros programas de RPMS   (Tamizajes de Detección Cancer de cervix,    Consulta integral de acuerdo  al  curso  de vida )</t>
  </si>
  <si>
    <t>Descartar que la mujer está en gestación: para identificar la posibilidad de embarazo en la usuaria que está solicitando un método anticonceptivo proceda a indagar y verificar los criterios de la “Guía para evaluar si una mujer está o no en embarazo”: - Cuenta con prueba de embrazo 
 No ha tenido relaciones sexuales desde la última menstruación normal.
 Ha utilizado correcta y consistentemente un método anticonceptivo confiable.
 Está dentro de los primeros 7 días después de la menstruación.
 Está dentro de las primeras 4 semanas post parto (mujeres no lactantes).
 Está dentro de los primeros 7 días después del aborto o aborto espontáneo.
 Está amamantando total o casi completamente, está en periodo de amenorrea, y menos de seis meses post parto.</t>
  </si>
  <si>
    <t>Recordar que los métodos anticonceptivos no protegen contra infecciones de trasmisión sexual, es necesario el uso de condón en toda relación sexual  penetrativa como mecanismo de doble protección</t>
  </si>
  <si>
    <t>Se realiza  Entrega y/o aplicación del método anticonceptivo?</t>
  </si>
  <si>
    <t>Realizar Examen físico general y genital</t>
  </si>
  <si>
    <t>Informa Prevención de ITS (uso de condón como método de protección adicional).</t>
  </si>
  <si>
    <t>Informa la Importancia de los controles y su frecuencia: las usuarias(os) deben ser informados sobre la importancia de asistir a consulta para sus controles periódicos, en caso de complicaciones o cuando se requiera cambio del método temporal.</t>
  </si>
  <si>
    <t>Informan Signos de alarma por los que debe consultar</t>
  </si>
  <si>
    <t>De acuerdo con los hallazgos y teniendo como guía los criterios de elegibilidad para
iniciar anticonceptivos y los procedimientos seleccionados para proveer métodos de
planificación familiar.    la usuaria realiza eleccion  de  metodo?</t>
  </si>
  <si>
    <t xml:space="preserve">Se registran    la   aplicación  y    evaluación    de  los criterios  de  elegilibilidad  de  la OMS en la historia clínica </t>
  </si>
  <si>
    <t>ELECCIÓN Y SUMINISTRO DE MÉTODOS ANTICONCEPTIVOS</t>
  </si>
  <si>
    <t xml:space="preserve"> Realizar anamnesis completa haciendo énfasis en salud sexual y reproductiva</t>
  </si>
  <si>
    <t>Para el caso de menores de 14 años que hayan iniciado relaciones sexuales , se debe brindar la asesoría y consulta anticonceptiva, iniciar el método seleccionado, y activar ruta de atención de violencia sexual, cumplir con las responsabilidades que impone la Ley, de la protección de las personas víctimas de delitos sexuales e informar a las autoridades competentes; en ningún caso limita o modifica la atención en salud que debe entregarse a la usuaria. Se realiza  el  proceso?</t>
  </si>
  <si>
    <t>Realizar el examen de acuerdo con los procedimientos seleccionados por la OMS para proveer métodos anticonceptivos-  Criterios de Elegibilidad  vigentes .</t>
  </si>
  <si>
    <t>Acompañamiento en elección informada y voluntaria del método más adecuado, de acuerdo con los elementos brindados en la asesoría.</t>
  </si>
  <si>
    <t>Brindar información sobre todos los métodos anticonceptivos elegibles, sin omitir ninguno; (Incluye mecanismo de acción, efectividad, duración, modo de uso, efectos secundarios y beneficios; despejar dudas sobre mitos frente al uso de anticonceptivos, razones de discontinuación del método y posibles barreras de acceso a los diferentes métodos), ofertar con especial énfasis los métodos de larga duración reversibles (implante hormonal y dispositivos intrauterinos).</t>
  </si>
  <si>
    <t>Brindar información acerca del sistema reproductivo.</t>
  </si>
  <si>
    <t>Valora el ejercicio de los Derechos Sexuales y Derechos Reproductivos –DSDR.</t>
  </si>
  <si>
    <t>Indaga sobre requerimientos anticonceptivos de la persona, con base a su necesidad, lo que espera de un método anticonceptivo, tiempo de duración, uso previo de métodos anticonceptivos y dirigir la asesoría de acuerdo a necesidades y expectativas.</t>
  </si>
  <si>
    <t>Indaga sobre las opciones frente a la posibilidad de un embarazo y planes de vida.</t>
  </si>
  <si>
    <t xml:space="preserve"> informa a la usuaria , sobre su derecho a la autonomía reproductiva (decidir la cantidad, intervalo y el momento oportuno tener hijos o no, y los medios para lograrlo, su derecho a la información, la libertad de decidir, la privacidad, la vida libre de daño, la igualdad y la justicia sanitaria.</t>
  </si>
  <si>
    <t>Registro en la Historia Clinica los datos de valoración, procedimientos realizados y el método formulado o suministrado</t>
  </si>
  <si>
    <t>ANAMNESIS</t>
  </si>
  <si>
    <t xml:space="preserve">Metodos de Emergencia </t>
  </si>
  <si>
    <t>Metodo Quirurgico</t>
  </si>
  <si>
    <t>Implante subdermico</t>
  </si>
  <si>
    <t>Metodos de barrera</t>
  </si>
  <si>
    <t xml:space="preserve">Anticonceptivo hormonal Inyectables  mensuales y  trimestrales  </t>
  </si>
  <si>
    <t xml:space="preserve"> Anticonceptivos Orales</t>
  </si>
  <si>
    <t xml:space="preserve">Dispositivos Intrauterinos  Cobre y  Mirena </t>
  </si>
  <si>
    <t xml:space="preserve">  METODOS  ANTICONCEPTIVOS OFERTADOS</t>
  </si>
  <si>
    <t>valoración   de antecedentes Sexuales (uso actual de métodos de anticoncepción (Tipo de
método, tiempo de duración, satisfacción con el mismo, efectos secundarios y su
manejo, quién lo indico y prescribió, último control de anticoncepción y la razón de
preferencia de dicho método o razones de discontinuación de métodos
anticonceptivos)</t>
  </si>
  <si>
    <t xml:space="preserve">valoración   de antecedentes  Gineco-obstetricos y  Sexuales </t>
  </si>
  <si>
    <t xml:space="preserve">valoración   de antecedentes Familiares </t>
  </si>
  <si>
    <t>valoración   de antecedentes  Personales (tener encuenta DX de salud mental)</t>
  </si>
  <si>
    <t>Valoración  pertenencia grupos para enfoque diferencial</t>
  </si>
  <si>
    <t xml:space="preserve"> VALORACION   DE ANTECEDENTES   Y ASPECTOS  DE ENFOQUE DIFERENCIAL </t>
  </si>
  <si>
    <t>Verificar  Consulta de Control por Medico General- Enfermeria</t>
  </si>
  <si>
    <t>Elaboraciòn de la historia clìnica completa  en  Consulta de primera vez por medicina general y/o enfermerìa.</t>
  </si>
  <si>
    <r>
      <rPr>
        <sz val="11"/>
        <rFont val="Aptos Narrow"/>
        <family val="2"/>
        <scheme val="minor"/>
      </rPr>
      <t>Personal certificado en consulta  para planificacion familiar Enfermería, medicina, ginecologia</t>
    </r>
    <r>
      <rPr>
        <sz val="11"/>
        <color rgb="FFFF0000"/>
        <rFont val="Aptos Narrow"/>
        <family val="2"/>
        <scheme val="minor"/>
      </rPr>
      <t xml:space="preserve"> </t>
    </r>
    <r>
      <rPr>
        <sz val="11"/>
        <rFont val="Aptos Narrow"/>
        <family val="2"/>
        <scheme val="minor"/>
      </rPr>
      <t>o medicina familiar)</t>
    </r>
  </si>
  <si>
    <t xml:space="preserve">¿Según lo ofertado, el talento humano cuenta con certificado de formación de conformidad con los lineamientos que para el efecto expida el Ministerio de Salud y Protección Social, para la prestación del servicios? </t>
  </si>
  <si>
    <t xml:space="preserve">PERFIL PROFESIONAL ENCARGADO DE LA CONSULTA DE VALORACIÓN INTEGRAL </t>
  </si>
  <si>
    <t>1- EAPB SURA CONTRIBUTIVO</t>
  </si>
  <si>
    <t xml:space="preserve">Valoración  de consulta de planificacion  Familiar </t>
  </si>
  <si>
    <t xml:space="preserve">Calibración  de equpos </t>
  </si>
  <si>
    <t xml:space="preserve">Cartilla de Vision Cercana </t>
  </si>
  <si>
    <t xml:space="preserve">Tablas de Snell </t>
  </si>
  <si>
    <t xml:space="preserve">Optotipos morfoscópicos o angulares para agudeza visual </t>
  </si>
  <si>
    <t>Tallímetro  de Acuerdo  a Resolución  2465-2026</t>
  </si>
  <si>
    <t>Balanza de pie - de acuerdo  a Resolución  2465-2016</t>
  </si>
  <si>
    <t>Tensiómetro pediátrico</t>
  </si>
  <si>
    <t>Dispositivos  para la atencion de la consulta</t>
  </si>
  <si>
    <t xml:space="preserve">Cumplimiento  de  las intervenciones  del adolescente  de manera integral   y  generar  remisiones  para dar cumplimiento a las actividades faltantes </t>
  </si>
  <si>
    <t xml:space="preserve">Se realiza educación individual de familia </t>
  </si>
  <si>
    <t>Plan de Atención</t>
  </si>
  <si>
    <t xml:space="preserve">Entrega de informacion general  </t>
  </si>
  <si>
    <t>Se dan indicaciones según hallazgos, necesidades identificadas y las inquietudes o necesidades expresadas durante la consulta.</t>
  </si>
  <si>
    <t xml:space="preserve"> Información en salud </t>
  </si>
  <si>
    <t>Se ordena tamizaje de Hemoglobina y Hematocrito: Niñas entre 12 y 17 años.</t>
  </si>
  <si>
    <t xml:space="preserve">tamizaje Hemoglobina </t>
  </si>
  <si>
    <t xml:space="preserve">Solicitud de  prueba de embarazo  por retraso  menstrual o sospecha de embarazo  </t>
  </si>
  <si>
    <t>Solicitud   o registro   de  laboratorios por  Riesgo  sin  protección: HB, evaluacion de sifilis,  VIH</t>
  </si>
  <si>
    <t xml:space="preserve">Se  evidencia analisis   para  la deteccion de  riesgo </t>
  </si>
  <si>
    <t xml:space="preserve">Deteccion de Riesgo  </t>
  </si>
  <si>
    <t xml:space="preserve">Vacunacion  contraVPH niñas y niños entre 9 y 17  años </t>
  </si>
  <si>
    <t>Vacunacion  contra toxoide tetanico para  niñas  a partir de los 9 años</t>
  </si>
  <si>
    <t>Esquema de vacunación</t>
  </si>
  <si>
    <t xml:space="preserve">Registro   y  entrega  de graficas  antropometricas  </t>
  </si>
  <si>
    <t xml:space="preserve">Clasificación del estado nutricional de acuerdo a patrones de referencia para la edad. Res 2465/2016
</t>
  </si>
  <si>
    <t>Medición, peso, talla, IMC/E.</t>
  </si>
  <si>
    <t xml:space="preserve">Ante el consumo de  alcohol  aplicar el instrumento  de AUDIT </t>
  </si>
  <si>
    <t>Ante el consumo  de SPA  aplicar el instrumento  ASSIST</t>
  </si>
  <si>
    <t>Cuestionario relacionado (riesgo o antecedentes en asiedad o depresion )</t>
  </si>
  <si>
    <t>Si  identifica, riesgo de  trastorno  mental  se debe aplicar  el instrumento   de  tamizaje RQC</t>
  </si>
  <si>
    <t xml:space="preserve">Se valora la presencia de riesgos psicosociales para  violencias   o exposicion a violencias  </t>
  </si>
  <si>
    <t>Se evidencia el adecuado diligenciamiento de la historia clinica odontologica</t>
  </si>
  <si>
    <t xml:space="preserve">Valoración de la salud bucal </t>
  </si>
  <si>
    <t>Realizar  dos preguntas de persepcion : 
usted escucha bien?
Ha tenido algun problema  en el oido?</t>
  </si>
  <si>
    <t xml:space="preserve">Registro de la aplicacion de la lista  de chequeo  de factores de riesgo  de las enfermedades del  oido </t>
  </si>
  <si>
    <t>Se aplicó cuestionario VALE.</t>
  </si>
  <si>
    <t xml:space="preserve">Se realiza exploracion fisica del oido (Otoscopia) </t>
  </si>
  <si>
    <t xml:space="preserve">Valoración de la salud auditiva </t>
  </si>
  <si>
    <t>Se realizó  la toma de agudeza visual.</t>
  </si>
  <si>
    <t>Remite a  Optometria para toma de  agudeza visual.</t>
  </si>
  <si>
    <t xml:space="preserve">Registro  de oftalmoscopia </t>
  </si>
  <si>
    <t>Se realiza exploracion y evaluacion de las estructuras de segmento  anterior y posterior.</t>
  </si>
  <si>
    <t>Indagan y entregan infromación  de  derechos sexuales y  reproductivos</t>
  </si>
  <si>
    <t xml:space="preserve">Solicitud  o registro  de  suministro de  antioncepción - Entrega de preservativos </t>
  </si>
  <si>
    <t xml:space="preserve">Solicitud  o registro  de  asesoria de antioncepción </t>
  </si>
  <si>
    <t>Valoracion  del enfoque diferencial  de aspectos relacionados con la sexualidad ( en caso  de   niñas  indigenas   identificar  practicas nocivas  para la vida y la salud  como  mutilacion genital  femenina)</t>
  </si>
  <si>
    <t>Evaluar maduracion sexual   con el crecimiento  fisico el cual permite determinar el proceso puberal</t>
  </si>
  <si>
    <t>Evaluacion de los estadios del tanner</t>
  </si>
  <si>
    <t xml:space="preserve">Valoracion de signos de violencia  sexual </t>
  </si>
  <si>
    <t>Se indaga por prácticas y hábitos saludables.</t>
  </si>
  <si>
    <t xml:space="preserve">Se indaga frente al consumo y hábitos alimentarios. </t>
  </si>
  <si>
    <t xml:space="preserve">Practicas Alimentarias </t>
  </si>
  <si>
    <t>Valoracion  de  pertenecia social y cultural (pertenencia etnica)</t>
  </si>
  <si>
    <t xml:space="preserve">valoracion  del contexto  social y  redes de apoyo social y  comunitario:  Ecomapa </t>
  </si>
  <si>
    <t xml:space="preserve">Valoracion  del  contexto social  y  las redes de apoyo social y  comunitario </t>
  </si>
  <si>
    <t xml:space="preserve">Indaga frente a la conformación del hogar y personas con las que habita.Aplicacion de familiograma </t>
  </si>
  <si>
    <t>Se indaga frente a la conformación y dinámica familiar.</t>
  </si>
  <si>
    <t>Autonomía</t>
  </si>
  <si>
    <t>Identidad</t>
  </si>
  <si>
    <t>Funciones cognitivas</t>
  </si>
  <si>
    <t xml:space="preserve">Valoración del desarrollo </t>
  </si>
  <si>
    <t>Examen fisico</t>
  </si>
  <si>
    <t>Exposicion   al  humo  del tabaco,  consumo de sustancias psicoactivas</t>
  </si>
  <si>
    <t xml:space="preserve">Valoracion  de antecedentes  Personales </t>
  </si>
  <si>
    <t>valoracion  de antecedentes neonatales medicos médicos, hospitalarios, transfusionales, farmacológicos, alergicos, quirúrgicos, etc.</t>
  </si>
  <si>
    <t xml:space="preserve">valoracion   pertenencia grupos para enfoque diferencial </t>
  </si>
  <si>
    <t xml:space="preserve">valoracion   pertenencia grupos etnicos </t>
  </si>
  <si>
    <t>Atención en salud por profesional de enfermería en los 13, 15 y 17 años.</t>
  </si>
  <si>
    <t>Atención en salud por medicina general o especialista en medicina familiar realizado en el mes: 12, 14 y 16 años.</t>
  </si>
  <si>
    <t xml:space="preserve">Perfil profesional encargado de la consulta de valoración integral </t>
  </si>
  <si>
    <t>ADOLESCENCIA ( 12-17)</t>
  </si>
  <si>
    <t xml:space="preserve">1-EAPB </t>
  </si>
  <si>
    <t xml:space="preserve">                                                                                                                                  CALIFICACION TOTAL </t>
  </si>
  <si>
    <t>Se ordenan tamizajes: Pruebas rápidas (VIH, Hepatitis B, Hepatits C, treponémica) según exposición de riesgo.</t>
  </si>
  <si>
    <t>Orden para tamizaje de ca de cuello uterino  Citología Cervico Vaginal según esquema 1.3.3: para &lt; 25 años según riesgo identificado y para &gt; de 25 años.</t>
  </si>
  <si>
    <t>Remision a vacunacion si no cuenta con vacuna de:VPH, y esquema Covid-19</t>
  </si>
  <si>
    <t>Se dan las indicaciones según los hallazgos a las necesidades identificadas en la consulta y las inquietudes o necesidades expresadas durante la consulta, escala findrish</t>
  </si>
  <si>
    <r>
      <t xml:space="preserve">Valoración del contexto social y las redes de apoyo social y comunitarias de la familia, mediante aplicación de Ecomapa (Anexo 8 / </t>
    </r>
    <r>
      <rPr>
        <b/>
        <sz val="10"/>
        <rFont val="Arial"/>
        <family val="2"/>
      </rPr>
      <t>sugerido</t>
    </r>
    <r>
      <rPr>
        <sz val="10"/>
        <color theme="1"/>
        <rFont val="Arial"/>
        <family val="2"/>
      </rPr>
      <t>) o el instrumento adoptado por la IPS o la EAPB</t>
    </r>
  </si>
  <si>
    <t>Valoracion con enfoque diferencial de practicas sexuales/identificacion de riesgo</t>
  </si>
  <si>
    <t>Valoración funcionalidad sexual</t>
  </si>
  <si>
    <t>Valoración de la salud sexual.</t>
  </si>
  <si>
    <t>Se solicitan paraclínicos en caso de identificación de riesgos por aplicación de escalas. (Glicemia basal, pefil lipídico, creatinina, uroanálisis).</t>
  </si>
  <si>
    <t>Aplicación de Tablas de Estratificación de la OMS.</t>
  </si>
  <si>
    <t>Aplicación de Finnish Risk score.</t>
  </si>
  <si>
    <t>Cuestionario relacionado (riesgo o antecedentes en asiedad o depresión )</t>
  </si>
  <si>
    <t>Si  identifica riesgo de  trastorno  mental  se debe aplicar  el instrumento   de  tamizaje RQC</t>
  </si>
  <si>
    <t>Preguntas de percepción de audición: ¿Tiene o ha tenido problema en el oído? ¿Cree que escucha bien? Y la aplicación de lista de chequeo de factores de riesgo de las enfermedades del oído.</t>
  </si>
  <si>
    <t xml:space="preserve">Se realiza otoscopia. </t>
  </si>
  <si>
    <t>Exámen de estructuras del ojo, funcionalidad y refracción.</t>
  </si>
  <si>
    <t>Evaluar el grado de satisfacción de la funcionalidad familiar.</t>
  </si>
  <si>
    <t>Se indaga por prácticas y hábitos saludables. (autoexámen de seno y autoexámen de testícular).</t>
  </si>
  <si>
    <r>
      <t xml:space="preserve">Se indaga por prácticas y hábitos saludables. (Exposicón a redes, internet, hábitos de sueño, </t>
    </r>
    <r>
      <rPr>
        <sz val="12"/>
        <rFont val="Calibri"/>
        <family val="2"/>
      </rPr>
      <t>actividad física</t>
    </r>
    <r>
      <rPr>
        <sz val="12"/>
        <color theme="1"/>
        <rFont val="Calibri"/>
        <family val="2"/>
      </rPr>
      <t>, manejo del estrés).</t>
    </r>
  </si>
  <si>
    <t>Se indagan antecedentes familiares. (HTA, DM, dislipidemias, enfernedad coronaria, cáncer, cerebro vasculares, enfermedades degenerativas, enfermedaes genéticas, gota, glaucoma, enfermedades mentales).</t>
  </si>
  <si>
    <t>Se verifica la realización y los resultados de las pruebas de tamizaje para la detección temprana de riesgo  de cáncer de cuello uterino.</t>
  </si>
  <si>
    <t xml:space="preserve">Se verifica la realización y los resultados de las pruebas de tamizaje para la detección temprana de riesgo cardiovascular </t>
  </si>
  <si>
    <t>Se indaga por antecedentes personales, médicos, metabólicos, cardiovasculares, cáncer, pulmonares, ITS, hospitalarios, transfusionales, farmacológicos, exposición al humo de tabaco, alérgicos, quirúrgicos, consumo de sustancias psicoactivas, esquema de vacunación, comportamiento y relaciones interpersonales, conducta suicida.</t>
  </si>
  <si>
    <t>Valoración exposición al humo de tabaco, consumo de sustancias psicoactivas.(uso cultural / consumo Recreativo)</t>
  </si>
  <si>
    <t xml:space="preserve">JUVENTUD ( 18-28)  </t>
  </si>
  <si>
    <t>Modelos de instrumentos para almacenamiento (frascos de vidrio, bolsas para almacenamiento de LM)</t>
  </si>
  <si>
    <t>Modelos de instrumentos para extracción de la leche materna (bombas extractora, botella caliente)</t>
  </si>
  <si>
    <t>Modelos de pecho para educación en lactancia materna</t>
  </si>
  <si>
    <t>Carné de salud infantil</t>
  </si>
  <si>
    <t xml:space="preserve">Cumplimiento  de  las intervenciones  de la primera  infancia   de manera integral   y  generar  remisiones  para dar cumplimiento a las actividades faltantes </t>
  </si>
  <si>
    <t xml:space="preserve">remisiones a especialistas  según los hallazgos </t>
  </si>
  <si>
    <t xml:space="preserve">Se verifica  esquema de vacunación acorde a la edad del  menor </t>
  </si>
  <si>
    <t>Cuenta con  remision  a  Educación en salud grupal para la primera infancia</t>
  </si>
  <si>
    <t xml:space="preserve">Verificar  continuidad a Consulta según la ruta  de primera Infancia </t>
  </si>
  <si>
    <t>Remite  a Educación grupal para padres y cuidadores</t>
  </si>
  <si>
    <t>En caso de encontrar situaciones como signos de infección en las mamas remite a consulta médica resolutiva para su manejo</t>
  </si>
  <si>
    <t>Informa   a la madre y la familia frente  a la  implementación efectiva de la práctica de lactancia materna</t>
  </si>
  <si>
    <t>Signos de alarma en el menor (Fontanelas abombadas, fiebre no controlada, llanto persistente , dificultad respiratoria, cambios en la frecuencia de las deposiciones, vomito, no recibe pecho.</t>
  </si>
  <si>
    <t>Momento adecuado de inicio de la alimentación complementaria y forma de hacerlo</t>
  </si>
  <si>
    <t>Los problemas que se pueden presentar relacionados con la lactancia  materna y cómo manejarlos: poca leche,‘ bebé rechaza el pecho materno,  madre que tiene pezones planos o invertidos, pechos ingurgitados, madre  con pezones doloridos o con grietas o mastitis, como mantener la lactancia en  un bebé con bajo peso al nacer o enfermo.</t>
  </si>
  <si>
    <t>Estrategias que pueden apoyar la lactancia materna como el Banco de Leche Humana</t>
  </si>
  <si>
    <t>Cuidado de las mamas</t>
  </si>
  <si>
    <t>Extracción, conservación, transporte de la lactancia materna</t>
  </si>
  <si>
    <t>La importancia y beneficios de la lactancia materna para la madre y el bebé sobre otras formas de alimentación, incluyendo alimentos de fórmula para lactantes y complementarios de la leche materna</t>
  </si>
  <si>
    <t xml:space="preserve">Se describe el resto del exámen fisico  completo </t>
  </si>
  <si>
    <t>Clasificación del estado nutricional de acuerdo a patrones de referencia para la edad. Res 2465/2016 o sus actualizaciones periodicas
(DNT aguda moderada, DNT aguda severa, Marasmo, Kwashiorkor, Mixta)</t>
  </si>
  <si>
    <t>Medición del perimetro del brazo, cefalico, peso, talla/longitud.</t>
  </si>
  <si>
    <t>Se  evalua  signos que sugieran infección en  mamas</t>
  </si>
  <si>
    <t>se  Evalua   congestión de  las mamas</t>
  </si>
  <si>
    <t>se  Evalua   dolor de  las mamas</t>
  </si>
  <si>
    <t>se  Evalua   Color  de  las mamas</t>
  </si>
  <si>
    <t>se  Evalua   aspecto  de  las mamas</t>
  </si>
  <si>
    <t>valoración de las mamas</t>
  </si>
  <si>
    <t xml:space="preserve"> Evalua Agarre </t>
  </si>
  <si>
    <t>Evalua Succión</t>
  </si>
  <si>
    <t xml:space="preserve">Evalua  Posición  </t>
  </si>
  <si>
    <t xml:space="preserve">adecuada técnica de lactancia materna </t>
  </si>
  <si>
    <t>Evaluación de la práctica de la lactancia materna</t>
  </si>
  <si>
    <t xml:space="preserve">3. Examen físico </t>
  </si>
  <si>
    <t>Ha incluido en la dieta del menor alimentos diferentes (agua de panela; al cuarto, colada de plátano en agua, caldo del frijol entre otras) como parte de practicas culturales</t>
  </si>
  <si>
    <t>Dar información sobre la existencia de bancos de leche humana, extracción, donación y continuación de la lactancia materna.</t>
  </si>
  <si>
    <t>Planes para continuar con la lactancia en caso de retorno a la escuela o trabajo.</t>
  </si>
  <si>
    <t>Inconvenientes e inquietudes sobre la lactancia.</t>
  </si>
  <si>
    <t>Cuidado de las mamas: alternancia de senos durante cada alimentación del niño, masaje</t>
  </si>
  <si>
    <t>Alimentación de la madre: cómo es la composición de la dieta, consumo de líquidos o medicamentos.</t>
  </si>
  <si>
    <t>Forma como se realiza la extracción, conservación y transporte de la leche en las madres lactantes que lo realizan.</t>
  </si>
  <si>
    <t>Con qué frecuencia y con cuál duración lacta, forma en la que lacta (postura de la madre y del niño, agarre y succión), reconocimiento de hambre y saciedad del bebé, frecuencia y características de orina y deposición administración de otros alimentos diferentes a la leche materna.</t>
  </si>
  <si>
    <t>Se Indagar sobre los siguientes aspectos: preparación prenatal para la lactancia materna, momento de inicio de la lactancia materna, ingesta de leche de fórmula antes del egreso hospitalario neonatal, expectativas de la  madre y la familia frente  a la lactancia materna</t>
  </si>
  <si>
    <t>Se Indaga frente a las necesidades de la madre sobre la práctica de la lactancia materna.</t>
  </si>
  <si>
    <t>anamnesis</t>
  </si>
  <si>
    <t xml:space="preserve">Valoracion  de antecedentes  Personales (tener encuenta DX de salud mental) </t>
  </si>
  <si>
    <t>valoracion   pertenencia grupos para enfoque diferencial,Pertenencia a población LGBTIQ+,Migrantes, Privados de la libertad, victimas del conflicto armado y discapcidad</t>
  </si>
  <si>
    <t xml:space="preserve"> valoracion   de antecedentes   y aspectos  de enfoque diferencial </t>
  </si>
  <si>
    <t>Personal certificado   en   Lactancia Materna (Enfermería, medicina o por nutrición)</t>
  </si>
  <si>
    <t>LACTANCIA MATERNA DURANTE LA GESTIACION,DE -8 y 30 DIAS DE NACIMIENTO  O 1 – 6 MESES SEGÚN CRITERIO MEDICO</t>
  </si>
  <si>
    <t xml:space="preserve">CIE 10: Z391                      EVALUACION  DE  HISTORIA CLINICA  POR CURSO  DE VIDA </t>
  </si>
  <si>
    <t>TOTAL</t>
  </si>
  <si>
    <t xml:space="preserve">Calibración  de equipos </t>
  </si>
  <si>
    <t>kit  de escala abreviada del desarrollo</t>
  </si>
  <si>
    <t>Tallimetro (Infantómetro  - Tallímetro) de Acuerdo  a Resolucion  2465-2026</t>
  </si>
  <si>
    <t>Balanzas  ( Pesabebé - Balanza de pie ) de acuerdo  a Resolución  2465-2016</t>
  </si>
  <si>
    <t xml:space="preserve">Cinta metrica Para medir Perimetro  braquial </t>
  </si>
  <si>
    <t>Cinta métrica para  medir Perimetro Cefálico</t>
  </si>
  <si>
    <t xml:space="preserve">Se realiza enrutamiento según corresponda </t>
  </si>
  <si>
    <t xml:space="preserve">Enrutamiento primera infancia </t>
  </si>
  <si>
    <t>Se verifica  esquema de vacunación acorde a la edad del  menor , se diligencia ultima vacuna y fecha de la misma</t>
  </si>
  <si>
    <t xml:space="preserve">Vacunación  </t>
  </si>
  <si>
    <t>Se ordenó fortificación casera con micronutrientes en polvo a niños entre los 6 y los 24 meses de edad con un ciclo cada 6 meses.</t>
  </si>
  <si>
    <t>Se ordenó suplementación con hierro y vitamina A en niños de 24 meses a 59 meses: Hierro 3mg/kg día 2 veces al año, vitamina A 200000 UI una sola toma dos veces al año.</t>
  </si>
  <si>
    <t xml:space="preserve">Se ordenó desparasitación intestinal así: niños de 12 a 23 meses albendazol 200 mg dosis unica dos veces al año. Niños de 24 meses a 4 años: Albendazol 400 mg via oral dosis única dos veces al año. </t>
  </si>
  <si>
    <t xml:space="preserve">Micronutrientes  y desparacitantes </t>
  </si>
  <si>
    <t xml:space="preserve">registro  de informacion   para niños menores de 6 meses </t>
  </si>
  <si>
    <t>Si se identificó factor de riesgo, se solicitó hemoglobina.</t>
  </si>
  <si>
    <t xml:space="preserve">tamizaje de Riesgo </t>
  </si>
  <si>
    <t>Se ordenó la consulta de atención para promoción y apoyo de la lactancia materna. En  niños   menores de  2 meses</t>
  </si>
  <si>
    <t>Lactancia Materna</t>
  </si>
  <si>
    <t xml:space="preserve">Registro  de graficas  antropometricas  y  entrega al familiar  </t>
  </si>
  <si>
    <t>Clasificación del estado nutricional de acuerdo a patrones de referencia para la edad. Res 2465/2016
(DNT aguda moderada, DNT aguda severa, Marasmo, Kwashiorkor, Mixta)</t>
  </si>
  <si>
    <t>Medición del perimetro del braquial a partir de los 6 meses hasta los 5 años, cefalico desde que nace hasta los 5 años, peso, talla/longitud.</t>
  </si>
  <si>
    <t xml:space="preserve">valorar exposicion  a lesiones  por exposicion de sustancias psicoactivas de alguno de los padres </t>
  </si>
  <si>
    <t>se valora presencia de DX de trastornos mentales de los padres</t>
  </si>
  <si>
    <t xml:space="preserve">Valoración de la salud mental </t>
  </si>
  <si>
    <t xml:space="preserve">Registro de la apliacion de la lista  de chequeo  de factores de riesgo  de las enfermedades del  oido </t>
  </si>
  <si>
    <t>Verifica  la realizacion de tamizaje auditivo  en niños de 0 a 3 meses</t>
  </si>
  <si>
    <t>A partir de los 3 años se realizó  la toma de agudeza visual.</t>
  </si>
  <si>
    <t xml:space="preserve">Presencia de criptorquidia, epi o hipospadias en  niños   y  en  niñas presecia de sinequias vulvares
Valoracion   integral  intersexuales </t>
  </si>
  <si>
    <t>en caso  de   niñas  indigenas   identificar  practicas nocivas  para la vida y la salud  como  mutilacion genital  femenina, Matrimonio infantil o forzoso</t>
  </si>
  <si>
    <t xml:space="preserve">Valoracion de signos de violencia  fisica o sexual </t>
  </si>
  <si>
    <t xml:space="preserve">Valoración de la salud sexual </t>
  </si>
  <si>
    <t>Si indaga sobre comportamientos inusuales en el niño menor de 2 años de edad en comparación con otros niños de su rango de edad. (¿Autismo?)</t>
  </si>
  <si>
    <t>Se aplicó escala Abreviada del Desarrrollo EAD-3 y se tiene registro en historia clínica.</t>
  </si>
  <si>
    <t>Se indaga acerca de prácticas de crianza y cuidado.</t>
  </si>
  <si>
    <t>Se indaga por el establecimiento de rutinas y hábitos saludables.</t>
  </si>
  <si>
    <t>Se indaga frente a la alimentación del niño &gt; 6 meses: frecuencia, alimentación, forma y tipo de alimentos.</t>
  </si>
  <si>
    <t>Se indaga frente a la alimentación del niño &lt; 6 meses: Verifica lactancia materna exclusiva.</t>
  </si>
  <si>
    <t>Se indaga frente a los progresos en hitos del desarrollo, entornos de educación, desarrollo del lenguaje.</t>
  </si>
  <si>
    <t>Exposicion   al  humo  del tabaco  consumo de sustancias psicoactivas  (padres)</t>
  </si>
  <si>
    <t xml:space="preserve">Se verifica la realización de tamizaje neonatal  auditivo, errores inntatos del metabolismo y cardiopatía.
</t>
  </si>
  <si>
    <t>valoracion   pertenencia grupos para enfoque diferencial,migrante, victima del conflicto armado,discapcidad</t>
  </si>
  <si>
    <t>Atención en salud por profesional de enfermería en los: 2-3 meses, 6-8 meses, 9-11 meses, 19-23 meses, 30-35 meses y 4 años.</t>
  </si>
  <si>
    <t>Atención en salud por medicina general o especialista en pediatría o medicina familiar realizado en el mes: 4-5 meses, 12-18 meses, 24-29 meses, 3 años y 5 años.</t>
  </si>
  <si>
    <t>Se realiza valoracion integral por primera vez al total de afiliados menores de 0 a 5 años</t>
  </si>
  <si>
    <t>Cobertura de valoracion integral</t>
  </si>
  <si>
    <t xml:space="preserve">PRIMERA INFANCIA  ( 0-5 AÑOS) </t>
  </si>
  <si>
    <t xml:space="preserve">Cumplimiento  de  las intervenciones  de la infancia   de manera integral   y  generar  remisiones  para dar cumplimiento a las actividades faltantes </t>
  </si>
  <si>
    <t xml:space="preserve">Enrutamiento infancia </t>
  </si>
  <si>
    <t>Se ordena tamizaje de Hemoglobina y Hematocrito: Niñas entre 10 y 13 años.</t>
  </si>
  <si>
    <t xml:space="preserve">Vacunacion  contraVPH niñas yniños de 9 a 17 años </t>
  </si>
  <si>
    <t>Vacunacion  contra toxoide tetanico para  niñas inicio de esquema 9 años</t>
  </si>
  <si>
    <t xml:space="preserve">Resto de  anamnesis  y  exámen físico </t>
  </si>
  <si>
    <t>Registro  de graficas  antropometricas  y  entrega al familiar ,con registro en historia clinica de la tendencia de la curva de crecimiento del menor</t>
  </si>
  <si>
    <t>Medición, peso, talla, T/E, IMC/E.</t>
  </si>
  <si>
    <t xml:space="preserve">Registra la evidencia en la consulta de atención en salud bucal por el profesional de odontología    </t>
  </si>
  <si>
    <t xml:space="preserve">Valoración de signos de violencia  fisica o sexual </t>
  </si>
  <si>
    <t xml:space="preserve">Se realizó test de la figura humana de Goodenough Harris (para identificación de niños con déficit cognitivo).
</t>
  </si>
  <si>
    <t>Valoración del desarrollo y rendimiento escolar</t>
  </si>
  <si>
    <t xml:space="preserve">Examen físico </t>
  </si>
  <si>
    <t xml:space="preserve">valoracion  del contesxto  social y  redes de apoyo social y  comunitario:  Ecomapa </t>
  </si>
  <si>
    <t>Anamnesis</t>
  </si>
  <si>
    <t>Exposicion   al  humo  del tabaco m consumo de sustancias psicoactivas (padres o cuidadores)</t>
  </si>
  <si>
    <t>Atención en salud por profesional de enfermería en los 7, 9 y 11 años.</t>
  </si>
  <si>
    <t>Atención en salud por medicina general o especialista en pediatría o medicina familiar realizado en el mes: 6, 8 y 10 años.</t>
  </si>
  <si>
    <t>Se realiza valoracion integral por primera vez al total de afiliados de 6 años a 11 años.</t>
  </si>
  <si>
    <t>OBLIGATOTIO Y,O SUGERIDO POR LA RESOLUCION</t>
  </si>
  <si>
    <t xml:space="preserve">INFANCIA  ( 6-11 AÑOS)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</si>
</sst>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0">
    <font>
      <sz val="11"/>
      <color theme="1"/>
      <name val="Aptos Narrow"/>
      <family val="2"/>
      <scheme val="minor"/>
    </font>
    <font>
      <sz val="11"/>
      <color theme="1"/>
      <name val="Aptos Narrow"/>
      <family val="2"/>
      <scheme val="minor"/>
    </font>
    <font>
      <b/>
      <sz val="9"/>
      <color rgb="FF000000"/>
      <name val="Arial"/>
      <family val="2"/>
    </font>
    <font>
      <sz val="9"/>
      <color theme="1"/>
      <name val="Arial"/>
      <family val="2"/>
    </font>
    <font>
      <sz val="9"/>
      <color indexed="81"/>
      <name val="Tahoma"/>
      <family val="2"/>
    </font>
    <font>
      <sz val="9"/>
      <color rgb="FF00B050"/>
      <name val="Arial"/>
      <family val="2"/>
    </font>
    <font>
      <b/>
      <sz val="11"/>
      <color theme="1"/>
      <name val="Aptos Narrow"/>
      <family val="2"/>
      <scheme val="minor"/>
    </font>
    <font>
      <b/>
      <sz val="10"/>
      <name val="Arial"/>
      <family val="2"/>
    </font>
    <font>
      <b/>
      <sz val="8"/>
      <name val="Arial"/>
      <family val="2"/>
    </font>
    <font>
      <b/>
      <sz val="6"/>
      <name val="Arial"/>
      <family val="2"/>
    </font>
    <font>
      <sz val="8"/>
      <name val="Arial"/>
      <family val="2"/>
    </font>
    <font>
      <b/>
      <sz val="11"/>
      <color theme="1"/>
      <name val="Arial"/>
      <family val="2"/>
    </font>
    <font>
      <b/>
      <sz val="12"/>
      <color theme="1"/>
      <name val="Aptos Narrow"/>
      <family val="2"/>
      <scheme val="minor"/>
    </font>
    <font>
      <b/>
      <sz val="11"/>
      <color theme="0" tint="-0.499984740745262"/>
      <name val="Aptos Narrow"/>
      <family val="2"/>
      <scheme val="minor"/>
    </font>
    <font>
      <sz val="9"/>
      <color rgb="FF000000"/>
      <name val="Arial"/>
      <family val="2"/>
    </font>
    <font>
      <sz val="12"/>
      <color theme="1"/>
      <name val="Calibri"/>
      <family val="2"/>
    </font>
    <font>
      <sz val="11"/>
      <color theme="1"/>
      <name val="Arial"/>
      <family val="2"/>
    </font>
    <font>
      <sz val="10"/>
      <color theme="1"/>
      <name val="Arial"/>
      <family val="2"/>
    </font>
    <font>
      <b/>
      <sz val="11"/>
      <name val="Arial"/>
      <family val="2"/>
    </font>
    <font>
      <b/>
      <sz val="11"/>
      <color theme="1"/>
      <name val="Aptos Narrow"/>
      <charset val="134"/>
      <scheme val="minor"/>
    </font>
    <font>
      <b/>
      <sz val="11"/>
      <color theme="1"/>
      <name val="Arial"/>
      <charset val="134"/>
    </font>
    <font>
      <sz val="11"/>
      <color rgb="FFFF0000"/>
      <name val="Aptos Narrow"/>
      <family val="2"/>
      <scheme val="minor"/>
    </font>
    <font>
      <b/>
      <sz val="8"/>
      <color theme="1"/>
      <name val="Arial"/>
      <family val="2"/>
    </font>
    <font>
      <b/>
      <sz val="12"/>
      <color rgb="FF000000"/>
      <name val="Calibri"/>
      <family val="2"/>
    </font>
    <font>
      <b/>
      <sz val="12"/>
      <color theme="1"/>
      <name val="Calibri"/>
      <family val="2"/>
    </font>
    <font>
      <sz val="12"/>
      <name val="Calibri"/>
      <family val="2"/>
    </font>
    <font>
      <b/>
      <sz val="12"/>
      <name val="Calibri"/>
      <family val="2"/>
    </font>
    <font>
      <b/>
      <u/>
      <sz val="10"/>
      <color theme="1"/>
      <name val="Arial"/>
      <family val="2"/>
    </font>
    <font>
      <b/>
      <sz val="9"/>
      <color indexed="81"/>
      <name val="Tahoma"/>
      <family val="2"/>
    </font>
    <font>
      <sz val="12"/>
      <color rgb="FF000000"/>
      <name val="Calibri"/>
      <family val="2"/>
    </font>
    <font>
      <sz val="12"/>
      <color rgb="FFFF0000"/>
      <name val="Calibri"/>
      <family val="2"/>
    </font>
    <font>
      <sz val="11"/>
      <name val="Arial"/>
      <family val="2"/>
    </font>
    <font>
      <sz val="11"/>
      <color theme="1"/>
      <name val="Calibri"/>
      <family val="2"/>
    </font>
    <font>
      <sz val="11"/>
      <name val="Aptos Narrow"/>
      <family val="2"/>
      <scheme val="minor"/>
    </font>
    <font>
      <b/>
      <sz val="16"/>
      <color theme="1"/>
      <name val="Arial"/>
      <family val="2"/>
    </font>
    <font>
      <sz val="11"/>
      <name val="Calibri"/>
      <family val="2"/>
    </font>
    <font>
      <b/>
      <sz val="11"/>
      <name val="Calibri"/>
      <family val="2"/>
    </font>
    <font>
      <sz val="10"/>
      <color indexed="8"/>
      <name val="Calibri"/>
      <family val="2"/>
    </font>
    <font>
      <sz val="11"/>
      <color indexed="8"/>
      <name val="Calibri"/>
      <family val="2"/>
    </font>
    <font>
      <b/>
      <sz val="11"/>
      <color indexed="8"/>
      <name val="Calibri"/>
      <family val="2"/>
    </font>
    <font>
      <b/>
      <sz val="11"/>
      <color theme="5" tint="-0.499984740745262"/>
      <name val="Aptos Narrow"/>
      <family val="2"/>
      <scheme val="minor"/>
    </font>
    <font>
      <sz val="11"/>
      <color theme="1"/>
      <name val="Aptos Narrow"/>
      <charset val="134"/>
      <scheme val="minor"/>
    </font>
    <font>
      <sz val="11"/>
      <color theme="1"/>
      <name val="Arial"/>
      <charset val="134"/>
    </font>
    <font>
      <sz val="12"/>
      <color theme="1"/>
      <name val="Calibri"/>
      <charset val="134"/>
    </font>
    <font>
      <b/>
      <sz val="11"/>
      <color rgb="FF000000"/>
      <name val="Aptos Narrow"/>
      <charset val="134"/>
      <scheme val="minor"/>
    </font>
    <font>
      <b/>
      <sz val="8"/>
      <color theme="1"/>
      <name val="Arial"/>
      <charset val="134"/>
    </font>
    <font>
      <sz val="11"/>
      <name val="Aptos Narrow"/>
      <charset val="134"/>
      <scheme val="minor"/>
    </font>
    <font>
      <b/>
      <sz val="8"/>
      <name val="Arial"/>
      <charset val="134"/>
    </font>
    <font>
      <b/>
      <sz val="11"/>
      <color theme="0" tint="-0.499984740745262"/>
      <name val="Aptos Narrow"/>
      <charset val="134"/>
      <scheme val="minor"/>
    </font>
    <font>
      <b/>
      <sz val="12"/>
      <color theme="1"/>
      <name val="Aptos Narrow"/>
      <charset val="134"/>
      <scheme val="minor"/>
    </font>
    <font>
      <sz val="8"/>
      <name val="Arial"/>
      <charset val="134"/>
    </font>
    <font>
      <b/>
      <sz val="6"/>
      <name val="Arial"/>
      <charset val="134"/>
    </font>
    <font>
      <b/>
      <sz val="10"/>
      <name val="Arial"/>
      <charset val="134"/>
    </font>
    <font>
      <b/>
      <sz val="9"/>
      <name val="Tahoma"/>
      <charset val="134"/>
    </font>
    <font>
      <sz val="9"/>
      <name val="Tahoma"/>
      <charset val="134"/>
    </font>
    <font>
      <b/>
      <sz val="11"/>
      <name val="Aptos Narrow"/>
      <family val="2"/>
      <scheme val="minor"/>
    </font>
    <font>
      <sz val="11"/>
      <color rgb="FF00B050"/>
      <name val="Aptos Narrow"/>
      <family val="2"/>
      <scheme val="minor"/>
    </font>
    <font>
      <b/>
      <sz val="11"/>
      <color rgb="FF000000"/>
      <name val="Aptos Narrow"/>
      <family val="2"/>
      <scheme val="minor"/>
    </font>
    <font>
      <b/>
      <sz val="11"/>
      <color theme="1"/>
      <name val="Arial Black"/>
      <family val="2"/>
    </font>
    <font>
      <sz val="11"/>
      <color rgb="FF000000"/>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FFFF00"/>
        <bgColor rgb="FF000000"/>
      </patternFill>
    </fill>
    <fill>
      <patternFill patternType="solid">
        <fgColor theme="5"/>
        <bgColor rgb="FF000000"/>
      </patternFill>
    </fill>
    <fill>
      <patternFill patternType="solid">
        <fgColor rgb="FFFF0000"/>
        <bgColor rgb="FF000000"/>
      </patternFill>
    </fill>
    <fill>
      <patternFill patternType="solid">
        <fgColor theme="5" tint="0.7999511703848384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6C3FF"/>
        <bgColor indexed="64"/>
      </patternFill>
    </fill>
    <fill>
      <patternFill patternType="solid">
        <fgColor theme="9" tint="0.3999450666829432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medium">
        <color auto="1"/>
      </left>
      <right/>
      <top style="thin">
        <color auto="1"/>
      </top>
      <bottom/>
      <diagonal/>
    </border>
    <border>
      <left style="medium">
        <color auto="1"/>
      </left>
      <right/>
      <top/>
      <bottom/>
      <diagonal/>
    </border>
    <border>
      <left style="medium">
        <color auto="1"/>
      </left>
      <right/>
      <top/>
      <bottom style="thin">
        <color auto="1"/>
      </bottom>
      <diagonal/>
    </border>
    <border>
      <left/>
      <right/>
      <top style="thin">
        <color auto="1"/>
      </top>
      <bottom/>
      <diagonal/>
    </border>
    <border>
      <left style="medium">
        <color auto="1"/>
      </left>
      <right style="thin">
        <color auto="1"/>
      </right>
      <top style="thin">
        <color auto="1"/>
      </top>
      <bottom style="thin">
        <color auto="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style="thin">
        <color auto="1"/>
      </right>
      <top style="thin">
        <color auto="1"/>
      </top>
      <bottom style="medium">
        <color auto="1"/>
      </bottom>
      <diagonal/>
    </border>
    <border>
      <left style="thin">
        <color indexed="64"/>
      </left>
      <right style="medium">
        <color indexed="64"/>
      </right>
      <top style="thin">
        <color indexed="64"/>
      </top>
      <bottom style="medium">
        <color indexed="64"/>
      </bottom>
      <diagonal/>
    </border>
  </borders>
  <cellStyleXfs count="5">
    <xf numFmtId="0" fontId="0" fillId="0" borderId="0"/>
    <xf numFmtId="9" fontId="1" fillId="0" borderId="0" applyFont="0" applyFill="0" applyBorder="0" applyAlignment="0" applyProtection="0"/>
    <xf numFmtId="0" fontId="1" fillId="0" borderId="0"/>
    <xf numFmtId="9" fontId="41" fillId="0" borderId="0" applyFont="0" applyFill="0" applyBorder="0" applyAlignment="0" applyProtection="0"/>
    <xf numFmtId="0" fontId="41" fillId="0" borderId="0"/>
  </cellStyleXfs>
  <cellXfs count="728">
    <xf numFmtId="0" fontId="0" fillId="0" borderId="0" xfId="0"/>
    <xf numFmtId="0" fontId="0" fillId="0" borderId="0" xfId="0" applyAlignment="1">
      <alignment horizontal="center"/>
    </xf>
    <xf numFmtId="0" fontId="8" fillId="0" borderId="1" xfId="0" applyFont="1" applyBorder="1" applyAlignment="1">
      <alignment horizontal="center" vertical="center" wrapText="1"/>
    </xf>
    <xf numFmtId="0" fontId="0" fillId="0" borderId="1" xfId="0" applyBorder="1" applyAlignment="1">
      <alignment horizontal="center"/>
    </xf>
    <xf numFmtId="14" fontId="0" fillId="0" borderId="1" xfId="0" applyNumberFormat="1" applyBorder="1" applyAlignment="1">
      <alignment horizontal="center"/>
    </xf>
    <xf numFmtId="0" fontId="8" fillId="0" borderId="1" xfId="0" applyFont="1" applyBorder="1" applyAlignment="1">
      <alignment horizontal="center" vertical="center"/>
    </xf>
    <xf numFmtId="0" fontId="10" fillId="0" borderId="1" xfId="0" applyFont="1" applyBorder="1" applyAlignment="1">
      <alignment horizontal="center" vertical="center"/>
    </xf>
    <xf numFmtId="164" fontId="8" fillId="0" borderId="1" xfId="1" applyNumberFormat="1" applyFont="1" applyBorder="1" applyAlignment="1" applyProtection="1">
      <alignment horizontal="center" vertical="center"/>
    </xf>
    <xf numFmtId="0" fontId="11" fillId="5" borderId="1" xfId="0" applyFont="1" applyFill="1" applyBorder="1" applyAlignment="1">
      <alignment horizontal="center" vertical="center"/>
    </xf>
    <xf numFmtId="14" fontId="1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14" fontId="13" fillId="0" borderId="3" xfId="0" applyNumberFormat="1" applyFont="1" applyBorder="1" applyAlignment="1">
      <alignment horizontal="center" vertical="center" wrapText="1"/>
    </xf>
    <xf numFmtId="0" fontId="0" fillId="0" borderId="1" xfId="0" applyBorder="1"/>
    <xf numFmtId="164" fontId="8" fillId="0" borderId="0" xfId="1" applyNumberFormat="1" applyFont="1" applyBorder="1" applyAlignment="1" applyProtection="1">
      <alignment horizontal="center" vertical="center"/>
    </xf>
    <xf numFmtId="0" fontId="8" fillId="0" borderId="0" xfId="0" applyFont="1" applyAlignment="1">
      <alignment horizontal="center" vertical="center"/>
    </xf>
    <xf numFmtId="0" fontId="15" fillId="7" borderId="2" xfId="0" applyFont="1" applyFill="1" applyBorder="1" applyAlignment="1">
      <alignment vertical="center" wrapText="1"/>
    </xf>
    <xf numFmtId="0" fontId="16" fillId="0" borderId="1" xfId="0" applyFont="1" applyBorder="1" applyAlignment="1">
      <alignment horizontal="left"/>
    </xf>
    <xf numFmtId="0" fontId="15" fillId="8" borderId="2" xfId="0" applyFont="1" applyFill="1" applyBorder="1" applyAlignment="1">
      <alignment vertical="center"/>
    </xf>
    <xf numFmtId="0" fontId="15" fillId="9" borderId="2" xfId="0" applyFont="1" applyFill="1" applyBorder="1" applyAlignment="1">
      <alignment vertical="center"/>
    </xf>
    <xf numFmtId="0" fontId="15" fillId="10" borderId="2" xfId="0" applyFont="1" applyFill="1" applyBorder="1" applyAlignment="1">
      <alignment vertical="center" wrapText="1"/>
    </xf>
    <xf numFmtId="0" fontId="17" fillId="0" borderId="1" xfId="0" applyFont="1" applyBorder="1" applyAlignment="1">
      <alignment vertical="center" wrapText="1"/>
    </xf>
    <xf numFmtId="0" fontId="16" fillId="0" borderId="1" xfId="0" applyFont="1" applyBorder="1" applyAlignment="1">
      <alignment vertical="center" wrapText="1"/>
    </xf>
    <xf numFmtId="0" fontId="5"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6" fillId="0" borderId="2" xfId="0" applyFont="1" applyBorder="1" applyAlignment="1">
      <alignment horizontal="left"/>
    </xf>
    <xf numFmtId="0" fontId="16" fillId="0" borderId="7" xfId="0" applyFont="1" applyBorder="1" applyAlignment="1">
      <alignment horizontal="left"/>
    </xf>
    <xf numFmtId="0" fontId="16" fillId="0" borderId="3" xfId="0" applyFont="1" applyBorder="1" applyAlignment="1">
      <alignment horizontal="left"/>
    </xf>
    <xf numFmtId="0" fontId="0" fillId="0" borderId="0" xfId="0" applyAlignment="1">
      <alignment horizontal="center" vertical="center"/>
    </xf>
    <xf numFmtId="0" fontId="0" fillId="0" borderId="2" xfId="0" applyBorder="1" applyAlignment="1">
      <alignment horizontal="center"/>
    </xf>
    <xf numFmtId="0" fontId="11" fillId="5" borderId="17" xfId="0" applyFont="1" applyFill="1" applyBorder="1" applyAlignment="1">
      <alignment horizontal="center" vertical="center"/>
    </xf>
    <xf numFmtId="10" fontId="20" fillId="2" borderId="22" xfId="1" applyNumberFormat="1" applyFont="1" applyFill="1" applyBorder="1" applyAlignment="1">
      <alignment horizontal="center" vertical="center" wrapText="1"/>
    </xf>
    <xf numFmtId="0" fontId="11" fillId="6" borderId="11" xfId="0" applyFont="1" applyFill="1" applyBorder="1" applyAlignment="1">
      <alignment horizontal="center"/>
    </xf>
    <xf numFmtId="0" fontId="16" fillId="0" borderId="6" xfId="0" applyFont="1" applyBorder="1" applyAlignment="1">
      <alignment horizontal="left"/>
    </xf>
    <xf numFmtId="0" fontId="16" fillId="0" borderId="0" xfId="0" applyFont="1" applyAlignment="1">
      <alignment horizontal="center"/>
    </xf>
    <xf numFmtId="0" fontId="16" fillId="0" borderId="0" xfId="0" applyFont="1"/>
    <xf numFmtId="0" fontId="7" fillId="3" borderId="17"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1" fillId="5" borderId="0" xfId="0" applyFont="1" applyFill="1" applyAlignment="1">
      <alignment horizontal="center" vertical="center"/>
    </xf>
    <xf numFmtId="0" fontId="22" fillId="5" borderId="12" xfId="0" applyFont="1" applyFill="1" applyBorder="1" applyAlignment="1">
      <alignment horizontal="center" vertical="center"/>
    </xf>
    <xf numFmtId="0" fontId="22" fillId="5" borderId="4" xfId="0" applyFont="1" applyFill="1" applyBorder="1" applyAlignment="1">
      <alignment horizontal="center" vertical="center"/>
    </xf>
    <xf numFmtId="0" fontId="16" fillId="5" borderId="1" xfId="0" applyFont="1" applyFill="1" applyBorder="1" applyAlignment="1">
      <alignment horizontal="center" vertical="center"/>
    </xf>
    <xf numFmtId="0" fontId="23" fillId="0" borderId="1" xfId="0" applyFont="1" applyBorder="1" applyAlignment="1">
      <alignment horizontal="center" vertical="center" wrapText="1"/>
    </xf>
    <xf numFmtId="165" fontId="15" fillId="0" borderId="1" xfId="0" applyNumberFormat="1" applyFont="1" applyBorder="1" applyAlignment="1">
      <alignment horizontal="center" vertical="center" wrapText="1"/>
    </xf>
    <xf numFmtId="1" fontId="11" fillId="2" borderId="3" xfId="0" applyNumberFormat="1" applyFont="1" applyFill="1" applyBorder="1" applyAlignment="1">
      <alignment horizontal="center" vertical="center"/>
    </xf>
    <xf numFmtId="0" fontId="11"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1" fontId="11" fillId="2" borderId="3" xfId="0" applyNumberFormat="1" applyFont="1" applyFill="1" applyBorder="1" applyAlignment="1">
      <alignment horizontal="center"/>
    </xf>
    <xf numFmtId="0" fontId="16" fillId="2" borderId="8" xfId="0" applyFont="1" applyFill="1" applyBorder="1" applyAlignment="1">
      <alignment horizontal="center" wrapText="1"/>
    </xf>
    <xf numFmtId="9" fontId="15" fillId="0" borderId="1" xfId="0" applyNumberFormat="1" applyFont="1" applyBorder="1" applyAlignment="1">
      <alignment horizontal="center" vertical="center" wrapText="1"/>
    </xf>
    <xf numFmtId="9" fontId="15" fillId="0" borderId="2" xfId="0" applyNumberFormat="1" applyFont="1" applyBorder="1" applyAlignment="1">
      <alignment horizontal="center" vertical="center" wrapText="1"/>
    </xf>
    <xf numFmtId="1" fontId="11" fillId="2" borderId="1" xfId="0" applyNumberFormat="1" applyFont="1" applyFill="1" applyBorder="1" applyAlignment="1">
      <alignment horizontal="center" vertical="center"/>
    </xf>
    <xf numFmtId="0" fontId="16" fillId="2" borderId="8" xfId="0" applyFont="1" applyFill="1" applyBorder="1"/>
    <xf numFmtId="0" fontId="16" fillId="2" borderId="8" xfId="0" applyFont="1" applyFill="1" applyBorder="1" applyAlignment="1">
      <alignment horizontal="center" vertical="center"/>
    </xf>
    <xf numFmtId="9" fontId="25" fillId="0" borderId="3" xfId="0" applyNumberFormat="1" applyFont="1" applyBorder="1" applyAlignment="1">
      <alignment horizontal="center" vertical="center" wrapText="1"/>
    </xf>
    <xf numFmtId="0" fontId="16" fillId="2" borderId="1" xfId="0" applyFont="1" applyFill="1" applyBorder="1" applyAlignment="1">
      <alignment horizontal="center" vertical="center"/>
    </xf>
    <xf numFmtId="0" fontId="15" fillId="12" borderId="3" xfId="0" applyFont="1" applyFill="1" applyBorder="1" applyAlignment="1">
      <alignment horizontal="left" vertical="center" wrapText="1"/>
    </xf>
    <xf numFmtId="9" fontId="15" fillId="0" borderId="3" xfId="0" applyNumberFormat="1" applyFont="1" applyBorder="1" applyAlignment="1">
      <alignment horizontal="center" vertical="center" wrapText="1"/>
    </xf>
    <xf numFmtId="165" fontId="15" fillId="0" borderId="3" xfId="0" applyNumberFormat="1" applyFont="1" applyBorder="1" applyAlignment="1">
      <alignment horizontal="center" vertical="center" wrapText="1"/>
    </xf>
    <xf numFmtId="0" fontId="25" fillId="0" borderId="4" xfId="0" applyFont="1" applyBorder="1" applyAlignment="1">
      <alignment vertical="center" wrapText="1"/>
    </xf>
    <xf numFmtId="0" fontId="15" fillId="0" borderId="4" xfId="0" applyFont="1" applyBorder="1" applyAlignment="1">
      <alignment vertical="center" wrapText="1"/>
    </xf>
    <xf numFmtId="9" fontId="15" fillId="0" borderId="4" xfId="0" applyNumberFormat="1" applyFont="1" applyBorder="1" applyAlignment="1">
      <alignment horizontal="center" vertical="center" wrapText="1"/>
    </xf>
    <xf numFmtId="1" fontId="16" fillId="2" borderId="1" xfId="0" applyNumberFormat="1" applyFont="1" applyFill="1" applyBorder="1" applyAlignment="1">
      <alignment horizontal="center" vertical="center"/>
    </xf>
    <xf numFmtId="0" fontId="15" fillId="0" borderId="1" xfId="0" applyFont="1" applyBorder="1" applyAlignment="1">
      <alignment vertical="center" wrapText="1"/>
    </xf>
    <xf numFmtId="0" fontId="17" fillId="0" borderId="1" xfId="0" applyFont="1" applyBorder="1" applyAlignment="1">
      <alignment horizontal="left" vertical="center" wrapText="1"/>
    </xf>
    <xf numFmtId="9" fontId="17" fillId="0" borderId="1" xfId="0" applyNumberFormat="1" applyFont="1" applyBorder="1" applyAlignment="1">
      <alignment horizontal="center" vertical="center" wrapText="1"/>
    </xf>
    <xf numFmtId="0" fontId="15" fillId="12" borderId="1" xfId="0" applyFont="1" applyFill="1" applyBorder="1" applyAlignment="1">
      <alignment vertical="center" wrapText="1"/>
    </xf>
    <xf numFmtId="9" fontId="25" fillId="0" borderId="4" xfId="0" applyNumberFormat="1" applyFont="1" applyBorder="1" applyAlignment="1">
      <alignment horizontal="center" vertical="center" wrapText="1"/>
    </xf>
    <xf numFmtId="0" fontId="25" fillId="0" borderId="1" xfId="0" applyFont="1" applyBorder="1" applyAlignment="1">
      <alignment vertical="center" wrapText="1"/>
    </xf>
    <xf numFmtId="9" fontId="25" fillId="0" borderId="1" xfId="0" applyNumberFormat="1" applyFont="1" applyBorder="1" applyAlignment="1">
      <alignment horizontal="center" vertical="center" wrapText="1"/>
    </xf>
    <xf numFmtId="165" fontId="25" fillId="0" borderId="1" xfId="0" applyNumberFormat="1" applyFont="1" applyBorder="1" applyAlignment="1">
      <alignment horizontal="center" vertical="center" wrapText="1"/>
    </xf>
    <xf numFmtId="0" fontId="25" fillId="0" borderId="6" xfId="0" applyFont="1" applyBorder="1" applyAlignment="1">
      <alignment vertical="center" wrapText="1"/>
    </xf>
    <xf numFmtId="0" fontId="15" fillId="12" borderId="1" xfId="0" applyFont="1" applyFill="1" applyBorder="1" applyAlignment="1">
      <alignment horizontal="center" vertical="center" wrapText="1"/>
    </xf>
    <xf numFmtId="0" fontId="0" fillId="0" borderId="1" xfId="0" applyBorder="1" applyAlignment="1">
      <alignment horizontal="center" vertical="center" wrapText="1"/>
    </xf>
    <xf numFmtId="0" fontId="1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0" fillId="2" borderId="1" xfId="0" applyFill="1" applyBorder="1" applyAlignment="1">
      <alignment horizontal="center" vertical="center"/>
    </xf>
    <xf numFmtId="9" fontId="15" fillId="12" borderId="3" xfId="0" applyNumberFormat="1" applyFont="1" applyFill="1" applyBorder="1" applyAlignment="1">
      <alignment horizontal="center" vertical="center" wrapText="1"/>
    </xf>
    <xf numFmtId="9" fontId="0" fillId="0" borderId="2" xfId="0" applyNumberFormat="1" applyBorder="1" applyAlignment="1">
      <alignment horizontal="center" vertical="center" wrapText="1"/>
    </xf>
    <xf numFmtId="0" fontId="0" fillId="0" borderId="8" xfId="0" applyBorder="1"/>
    <xf numFmtId="9" fontId="11" fillId="6" borderId="14" xfId="0" applyNumberFormat="1" applyFont="1" applyFill="1" applyBorder="1" applyAlignment="1">
      <alignment horizontal="center"/>
    </xf>
    <xf numFmtId="9" fontId="6" fillId="0" borderId="1" xfId="1" applyFont="1" applyFill="1" applyBorder="1" applyAlignment="1">
      <alignment horizontal="center" vertical="center"/>
    </xf>
    <xf numFmtId="0" fontId="11" fillId="6" borderId="0" xfId="0" applyFont="1" applyFill="1" applyAlignment="1">
      <alignment horizontal="center"/>
    </xf>
    <xf numFmtId="9" fontId="6" fillId="2" borderId="0" xfId="1" applyFont="1" applyFill="1" applyBorder="1" applyAlignment="1">
      <alignment horizontal="center" vertical="center"/>
    </xf>
    <xf numFmtId="0" fontId="0" fillId="2" borderId="0" xfId="0" applyFill="1"/>
    <xf numFmtId="0" fontId="11" fillId="4" borderId="21" xfId="0" applyFont="1" applyFill="1" applyBorder="1" applyAlignment="1">
      <alignment horizontal="center" vertical="center"/>
    </xf>
    <xf numFmtId="0" fontId="11" fillId="4" borderId="0" xfId="0" applyFont="1" applyFill="1" applyAlignment="1">
      <alignment horizontal="center" vertical="center"/>
    </xf>
    <xf numFmtId="0" fontId="11" fillId="2" borderId="3" xfId="0" applyFont="1" applyFill="1" applyBorder="1" applyAlignment="1">
      <alignment horizontal="center" vertical="center"/>
    </xf>
    <xf numFmtId="0" fontId="15" fillId="0" borderId="1" xfId="0" applyFont="1" applyBorder="1" applyAlignment="1">
      <alignment horizontal="left" vertical="center" wrapText="1"/>
    </xf>
    <xf numFmtId="165" fontId="15" fillId="0" borderId="2" xfId="0" applyNumberFormat="1" applyFont="1" applyBorder="1" applyAlignment="1">
      <alignment horizontal="center" vertical="center" wrapText="1"/>
    </xf>
    <xf numFmtId="0" fontId="25" fillId="0" borderId="1" xfId="0" applyFont="1" applyBorder="1" applyAlignment="1">
      <alignment horizontal="left" vertical="center" wrapText="1"/>
    </xf>
    <xf numFmtId="0" fontId="16" fillId="2" borderId="1" xfId="0" applyFont="1" applyFill="1" applyBorder="1"/>
    <xf numFmtId="165" fontId="25" fillId="0" borderId="3" xfId="0" applyNumberFormat="1" applyFont="1" applyBorder="1" applyAlignment="1">
      <alignment horizontal="center" vertical="center" wrapText="1"/>
    </xf>
    <xf numFmtId="0" fontId="16" fillId="2" borderId="1" xfId="0" applyFont="1" applyFill="1" applyBorder="1" applyAlignment="1">
      <alignment horizontal="center"/>
    </xf>
    <xf numFmtId="0" fontId="16" fillId="2" borderId="1" xfId="0" applyFont="1" applyFill="1" applyBorder="1" applyAlignment="1">
      <alignment horizontal="center" wrapText="1"/>
    </xf>
    <xf numFmtId="0" fontId="15" fillId="0" borderId="4" xfId="0" applyFont="1" applyBorder="1" applyAlignment="1">
      <alignment horizontal="center" vertical="center" wrapText="1"/>
    </xf>
    <xf numFmtId="0" fontId="25" fillId="12" borderId="1" xfId="0" applyFont="1" applyFill="1" applyBorder="1" applyAlignment="1">
      <alignment horizontal="left" vertical="center" wrapText="1"/>
    </xf>
    <xf numFmtId="165" fontId="15" fillId="0" borderId="4" xfId="0" applyNumberFormat="1" applyFont="1" applyBorder="1" applyAlignment="1">
      <alignment horizontal="center" vertical="center" wrapText="1"/>
    </xf>
    <xf numFmtId="9" fontId="25" fillId="0" borderId="6" xfId="0" applyNumberFormat="1" applyFont="1" applyBorder="1" applyAlignment="1">
      <alignment horizontal="center" vertical="center" wrapText="1"/>
    </xf>
    <xf numFmtId="0" fontId="0" fillId="0" borderId="1" xfId="0" applyBorder="1" applyAlignment="1">
      <alignment horizontal="center" wrapText="1"/>
    </xf>
    <xf numFmtId="0" fontId="16" fillId="2" borderId="1" xfId="0" applyFont="1" applyFill="1" applyBorder="1" applyAlignment="1">
      <alignment vertical="center" wrapText="1"/>
    </xf>
    <xf numFmtId="0" fontId="23" fillId="0" borderId="15" xfId="0" applyFont="1" applyBorder="1" applyAlignment="1">
      <alignment horizontal="center" vertical="center" wrapText="1"/>
    </xf>
    <xf numFmtId="0" fontId="25" fillId="12" borderId="3" xfId="0" applyFont="1" applyFill="1" applyBorder="1" applyAlignment="1">
      <alignment vertical="center" wrapText="1"/>
    </xf>
    <xf numFmtId="0" fontId="15" fillId="12" borderId="3" xfId="0" applyFont="1" applyFill="1" applyBorder="1" applyAlignment="1">
      <alignment vertical="center" wrapText="1"/>
    </xf>
    <xf numFmtId="0" fontId="0" fillId="0" borderId="2" xfId="0" applyBorder="1" applyAlignment="1">
      <alignment horizontal="left" vertical="center" wrapText="1"/>
    </xf>
    <xf numFmtId="9" fontId="6" fillId="0" borderId="1" xfId="1" applyFont="1" applyFill="1" applyBorder="1"/>
    <xf numFmtId="0" fontId="11" fillId="0" borderId="17" xfId="0" applyFont="1" applyBorder="1" applyAlignment="1">
      <alignment horizontal="center"/>
    </xf>
    <xf numFmtId="0" fontId="11" fillId="0" borderId="0" xfId="0" applyFont="1" applyAlignment="1">
      <alignment horizontal="center"/>
    </xf>
    <xf numFmtId="9" fontId="18" fillId="0" borderId="21" xfId="1" applyFont="1" applyFill="1" applyBorder="1" applyAlignment="1">
      <alignment horizontal="center"/>
    </xf>
    <xf numFmtId="9" fontId="18" fillId="0" borderId="12" xfId="1" applyFont="1" applyFill="1" applyBorder="1" applyAlignment="1">
      <alignment horizontal="center"/>
    </xf>
    <xf numFmtId="0" fontId="11" fillId="6" borderId="1" xfId="0" applyFont="1" applyFill="1" applyBorder="1" applyAlignment="1">
      <alignment horizontal="center"/>
    </xf>
    <xf numFmtId="0" fontId="5" fillId="0" borderId="14" xfId="0" applyFont="1" applyBorder="1" applyAlignment="1">
      <alignment horizontal="center" vertical="center" wrapText="1"/>
    </xf>
    <xf numFmtId="0" fontId="10" fillId="0" borderId="3" xfId="0" applyFont="1" applyBorder="1" applyAlignment="1">
      <alignment horizontal="center" vertical="center"/>
    </xf>
    <xf numFmtId="0" fontId="11" fillId="0" borderId="1" xfId="0" applyFont="1" applyBorder="1" applyAlignment="1">
      <alignment horizontal="center" vertical="center"/>
    </xf>
    <xf numFmtId="0" fontId="11" fillId="6" borderId="2" xfId="0" applyFont="1" applyFill="1" applyBorder="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1" fontId="8" fillId="0" borderId="1" xfId="1" applyNumberFormat="1" applyFont="1" applyBorder="1" applyAlignment="1" applyProtection="1">
      <alignment horizontal="center" vertical="center"/>
    </xf>
    <xf numFmtId="0" fontId="6" fillId="0" borderId="4" xfId="0" applyFont="1" applyBorder="1" applyAlignment="1">
      <alignment horizontal="center" vertical="center"/>
    </xf>
    <xf numFmtId="9" fontId="0" fillId="0" borderId="1" xfId="0" applyNumberFormat="1" applyBorder="1"/>
    <xf numFmtId="0" fontId="0" fillId="0" borderId="1" xfId="0" applyBorder="1" applyAlignment="1">
      <alignment wrapText="1"/>
    </xf>
    <xf numFmtId="9" fontId="11" fillId="6" borderId="1" xfId="0" applyNumberFormat="1" applyFont="1" applyFill="1" applyBorder="1" applyAlignment="1">
      <alignment horizontal="center"/>
    </xf>
    <xf numFmtId="0" fontId="0" fillId="0" borderId="3" xfId="0" applyBorder="1"/>
    <xf numFmtId="9" fontId="0" fillId="0" borderId="3" xfId="0" applyNumberFormat="1" applyBorder="1"/>
    <xf numFmtId="1" fontId="6" fillId="0" borderId="1" xfId="0" applyNumberFormat="1" applyFont="1" applyBorder="1" applyAlignment="1">
      <alignment horizontal="center" vertical="center"/>
    </xf>
    <xf numFmtId="9" fontId="16" fillId="12" borderId="0" xfId="0" applyNumberFormat="1" applyFont="1" applyFill="1"/>
    <xf numFmtId="0" fontId="16" fillId="0" borderId="1" xfId="0" applyFont="1" applyBorder="1" applyAlignment="1">
      <alignment wrapText="1"/>
    </xf>
    <xf numFmtId="0" fontId="16" fillId="0" borderId="1" xfId="0" applyFont="1" applyBorder="1"/>
    <xf numFmtId="0" fontId="16" fillId="0" borderId="1" xfId="0" applyFont="1" applyBorder="1" applyAlignment="1">
      <alignment horizontal="center"/>
    </xf>
    <xf numFmtId="0" fontId="16" fillId="0" borderId="1" xfId="0" applyFont="1" applyBorder="1" applyAlignment="1">
      <alignment horizontal="center" vertical="center"/>
    </xf>
    <xf numFmtId="10" fontId="16" fillId="0" borderId="1" xfId="0" applyNumberFormat="1" applyFont="1" applyBorder="1" applyAlignment="1">
      <alignment vertical="center" wrapText="1"/>
    </xf>
    <xf numFmtId="0" fontId="16" fillId="2" borderId="3" xfId="0" applyFont="1" applyFill="1" applyBorder="1" applyAlignment="1">
      <alignment vertical="top" wrapText="1"/>
    </xf>
    <xf numFmtId="0" fontId="16" fillId="0" borderId="3" xfId="0" applyFont="1" applyBorder="1" applyAlignment="1">
      <alignment vertical="top" wrapText="1"/>
    </xf>
    <xf numFmtId="0" fontId="16" fillId="0" borderId="0" xfId="0" applyFont="1" applyAlignment="1">
      <alignment vertical="center" wrapText="1"/>
    </xf>
    <xf numFmtId="0" fontId="0" fillId="0" borderId="0" xfId="0" applyAlignment="1">
      <alignment wrapText="1"/>
    </xf>
    <xf numFmtId="10" fontId="0" fillId="0" borderId="1" xfId="0" applyNumberFormat="1" applyBorder="1" applyAlignment="1">
      <alignment vertical="center" wrapText="1"/>
    </xf>
    <xf numFmtId="0" fontId="0" fillId="0" borderId="1" xfId="0" applyBorder="1" applyAlignment="1">
      <alignment vertical="center" wrapText="1"/>
    </xf>
    <xf numFmtId="9" fontId="16" fillId="0" borderId="1" xfId="0" applyNumberFormat="1" applyFont="1" applyBorder="1" applyAlignment="1">
      <alignment horizontal="center"/>
    </xf>
    <xf numFmtId="9" fontId="16" fillId="0" borderId="3" xfId="0" applyNumberFormat="1" applyFont="1" applyBorder="1" applyAlignment="1">
      <alignment vertical="top" wrapText="1"/>
    </xf>
    <xf numFmtId="0" fontId="17" fillId="0" borderId="1" xfId="0" applyFont="1" applyBorder="1" applyAlignment="1">
      <alignment wrapText="1"/>
    </xf>
    <xf numFmtId="9" fontId="31" fillId="0" borderId="1" xfId="0" applyNumberFormat="1" applyFont="1" applyBorder="1" applyAlignment="1">
      <alignment vertical="top" wrapText="1"/>
    </xf>
    <xf numFmtId="0" fontId="16" fillId="0" borderId="7" xfId="0" applyFont="1" applyBorder="1" applyAlignment="1">
      <alignment vertical="top" wrapText="1"/>
    </xf>
    <xf numFmtId="0" fontId="16" fillId="0" borderId="11" xfId="0" applyFont="1" applyBorder="1" applyAlignment="1">
      <alignment vertical="center" wrapText="1"/>
    </xf>
    <xf numFmtId="10" fontId="0" fillId="0" borderId="1" xfId="0" applyNumberFormat="1" applyBorder="1" applyAlignment="1">
      <alignment wrapText="1"/>
    </xf>
    <xf numFmtId="0" fontId="0" fillId="0" borderId="7" xfId="0" applyBorder="1" applyAlignment="1">
      <alignment wrapText="1"/>
    </xf>
    <xf numFmtId="0" fontId="0" fillId="0" borderId="7" xfId="0" applyBorder="1" applyAlignment="1">
      <alignment horizontal="left" wrapText="1"/>
    </xf>
    <xf numFmtId="10" fontId="16" fillId="0" borderId="1" xfId="0" applyNumberFormat="1" applyFont="1" applyBorder="1" applyAlignment="1">
      <alignment horizontal="center" vertical="center"/>
    </xf>
    <xf numFmtId="9" fontId="16" fillId="0" borderId="1" xfId="0" applyNumberFormat="1" applyFont="1" applyBorder="1" applyAlignment="1">
      <alignment vertical="center"/>
    </xf>
    <xf numFmtId="0" fontId="16" fillId="0" borderId="2" xfId="0" applyFont="1" applyBorder="1" applyAlignment="1">
      <alignment vertical="center"/>
    </xf>
    <xf numFmtId="9" fontId="31" fillId="0" borderId="2" xfId="0" applyNumberFormat="1" applyFont="1" applyBorder="1" applyAlignment="1">
      <alignment vertical="center"/>
    </xf>
    <xf numFmtId="0" fontId="11" fillId="5" borderId="1" xfId="0" applyFont="1" applyFill="1" applyBorder="1" applyAlignment="1">
      <alignment horizontal="center"/>
    </xf>
    <xf numFmtId="14" fontId="33" fillId="0" borderId="1" xfId="0" applyNumberFormat="1" applyFont="1" applyBorder="1" applyAlignment="1">
      <alignment horizontal="center" vertical="center" wrapText="1"/>
    </xf>
    <xf numFmtId="0" fontId="34" fillId="14" borderId="7" xfId="0" applyFont="1" applyFill="1" applyBorder="1" applyAlignment="1">
      <alignment horizontal="center"/>
    </xf>
    <xf numFmtId="0" fontId="10" fillId="0" borderId="0" xfId="0" applyFont="1" applyAlignment="1">
      <alignment vertical="center" wrapText="1"/>
    </xf>
    <xf numFmtId="0" fontId="15" fillId="8" borderId="1" xfId="0" applyFont="1" applyFill="1" applyBorder="1" applyAlignment="1">
      <alignment vertical="center"/>
    </xf>
    <xf numFmtId="0" fontId="15" fillId="7" borderId="1" xfId="0" applyFont="1" applyFill="1" applyBorder="1" applyAlignment="1">
      <alignment vertical="center" wrapText="1"/>
    </xf>
    <xf numFmtId="1" fontId="6" fillId="0" borderId="0" xfId="0" applyNumberFormat="1" applyFont="1" applyAlignment="1">
      <alignment horizontal="center" vertical="center"/>
    </xf>
    <xf numFmtId="9" fontId="18" fillId="0" borderId="0" xfId="1" applyFont="1" applyFill="1" applyBorder="1" applyAlignment="1">
      <alignment horizontal="center"/>
    </xf>
    <xf numFmtId="10" fontId="0" fillId="0" borderId="1" xfId="0" applyNumberFormat="1" applyBorder="1"/>
    <xf numFmtId="0" fontId="17" fillId="0" borderId="1" xfId="0" applyFont="1" applyBorder="1" applyAlignment="1">
      <alignment horizontal="center" vertical="center" wrapText="1"/>
    </xf>
    <xf numFmtId="10" fontId="0" fillId="0" borderId="4" xfId="0" applyNumberFormat="1" applyBorder="1"/>
    <xf numFmtId="0" fontId="35" fillId="0" borderId="11" xfId="0" applyFont="1" applyBorder="1" applyAlignment="1" applyProtection="1">
      <alignment vertical="center" wrapText="1"/>
      <protection hidden="1"/>
    </xf>
    <xf numFmtId="0" fontId="35" fillId="0" borderId="2" xfId="0" applyFont="1" applyBorder="1" applyAlignment="1" applyProtection="1">
      <alignment vertical="center" wrapText="1"/>
      <protection hidden="1"/>
    </xf>
    <xf numFmtId="0" fontId="37" fillId="0" borderId="1" xfId="0" applyFont="1" applyBorder="1" applyAlignment="1" applyProtection="1">
      <alignment vertical="center" wrapText="1"/>
      <protection hidden="1"/>
    </xf>
    <xf numFmtId="0" fontId="35" fillId="0" borderId="26" xfId="0" applyFont="1" applyBorder="1" applyAlignment="1" applyProtection="1">
      <alignment vertical="center" wrapText="1"/>
      <protection hidden="1"/>
    </xf>
    <xf numFmtId="0" fontId="38" fillId="0" borderId="2" xfId="0" applyFont="1" applyBorder="1" applyAlignment="1" applyProtection="1">
      <alignment vertical="center"/>
      <protection hidden="1"/>
    </xf>
    <xf numFmtId="0" fontId="38" fillId="0" borderId="26" xfId="0" applyFont="1" applyBorder="1" applyAlignment="1" applyProtection="1">
      <alignment vertical="center"/>
      <protection hidden="1"/>
    </xf>
    <xf numFmtId="0" fontId="38" fillId="0" borderId="29" xfId="0" applyFont="1" applyBorder="1" applyAlignment="1" applyProtection="1">
      <alignment vertical="center" wrapText="1"/>
      <protection hidden="1"/>
    </xf>
    <xf numFmtId="0" fontId="38" fillId="0" borderId="2" xfId="0" applyFont="1" applyBorder="1" applyAlignment="1" applyProtection="1">
      <alignment vertical="center" wrapText="1"/>
      <protection hidden="1"/>
    </xf>
    <xf numFmtId="0" fontId="38" fillId="0" borderId="26" xfId="0" applyFont="1" applyBorder="1" applyAlignment="1" applyProtection="1">
      <alignment vertical="center" wrapText="1"/>
      <protection hidden="1"/>
    </xf>
    <xf numFmtId="0" fontId="35" fillId="0" borderId="29" xfId="0" applyFont="1" applyBorder="1" applyAlignment="1" applyProtection="1">
      <alignment vertical="center" wrapText="1"/>
      <protection hidden="1"/>
    </xf>
    <xf numFmtId="0" fontId="38" fillId="0" borderId="29" xfId="0" applyFont="1" applyBorder="1" applyAlignment="1" applyProtection="1">
      <alignment vertical="center"/>
      <protection hidden="1"/>
    </xf>
    <xf numFmtId="0" fontId="0" fillId="0" borderId="0" xfId="0" applyAlignment="1" applyProtection="1">
      <alignment wrapText="1"/>
      <protection hidden="1"/>
    </xf>
    <xf numFmtId="0" fontId="0" fillId="0" borderId="0" xfId="0" applyProtection="1">
      <protection hidden="1"/>
    </xf>
    <xf numFmtId="0" fontId="0" fillId="0" borderId="2" xfId="0" applyBorder="1" applyAlignment="1" applyProtection="1">
      <alignment wrapText="1"/>
      <protection hidden="1"/>
    </xf>
    <xf numFmtId="9" fontId="11" fillId="6" borderId="5" xfId="0" applyNumberFormat="1" applyFont="1" applyFill="1" applyBorder="1" applyAlignment="1">
      <alignment horizontal="center"/>
    </xf>
    <xf numFmtId="0" fontId="0" fillId="0" borderId="5" xfId="0" applyBorder="1"/>
    <xf numFmtId="0" fontId="0" fillId="0" borderId="4" xfId="0" applyBorder="1"/>
    <xf numFmtId="1" fontId="6" fillId="0" borderId="4" xfId="0" applyNumberFormat="1" applyFont="1" applyBorder="1" applyAlignment="1">
      <alignment horizontal="center" vertical="center"/>
    </xf>
    <xf numFmtId="0" fontId="0" fillId="0" borderId="2" xfId="0" applyBorder="1" applyAlignment="1">
      <alignment vertical="center" wrapText="1"/>
    </xf>
    <xf numFmtId="0" fontId="0" fillId="0" borderId="2" xfId="0" applyBorder="1" applyAlignment="1">
      <alignment horizontal="justify" vertical="justify" wrapText="1"/>
    </xf>
    <xf numFmtId="0" fontId="0" fillId="0" borderId="2" xfId="0" applyBorder="1" applyAlignment="1">
      <alignment wrapText="1"/>
    </xf>
    <xf numFmtId="0" fontId="33" fillId="0" borderId="2" xfId="0" applyFont="1" applyBorder="1" applyAlignment="1">
      <alignment horizontal="left" vertical="top" wrapText="1"/>
    </xf>
    <xf numFmtId="0" fontId="0" fillId="0" borderId="11" xfId="0" applyBorder="1" applyAlignment="1">
      <alignment vertical="center" wrapText="1"/>
    </xf>
    <xf numFmtId="0" fontId="0" fillId="0" borderId="2" xfId="0" applyBorder="1"/>
    <xf numFmtId="0" fontId="0" fillId="0" borderId="0" xfId="0" applyAlignment="1">
      <alignment vertical="top" wrapText="1"/>
    </xf>
    <xf numFmtId="0" fontId="31" fillId="0" borderId="1" xfId="0" applyFont="1" applyBorder="1" applyAlignment="1">
      <alignment horizontal="center"/>
    </xf>
    <xf numFmtId="0" fontId="40" fillId="0" borderId="2" xfId="0" applyFont="1" applyBorder="1" applyAlignment="1">
      <alignment vertical="top" wrapText="1"/>
    </xf>
    <xf numFmtId="0" fontId="0" fillId="0" borderId="2" xfId="0" applyBorder="1" applyAlignment="1">
      <alignment vertical="top" wrapText="1"/>
    </xf>
    <xf numFmtId="0" fontId="0" fillId="0" borderId="7" xfId="0" applyBorder="1" applyAlignment="1">
      <alignment vertical="top" wrapText="1"/>
    </xf>
    <xf numFmtId="0" fontId="0" fillId="0" borderId="7" xfId="0" applyBorder="1" applyAlignment="1">
      <alignment vertical="center" wrapText="1"/>
    </xf>
    <xf numFmtId="0" fontId="21" fillId="0" borderId="2" xfId="0" applyFont="1" applyBorder="1" applyAlignment="1">
      <alignment horizontal="left" wrapText="1"/>
    </xf>
    <xf numFmtId="0" fontId="0" fillId="0" borderId="2" xfId="0" applyBorder="1" applyAlignment="1">
      <alignment horizontal="left" wrapText="1"/>
    </xf>
    <xf numFmtId="9" fontId="6" fillId="0" borderId="33" xfId="1" applyFont="1" applyFill="1" applyBorder="1" applyAlignment="1">
      <alignment wrapText="1"/>
    </xf>
    <xf numFmtId="0" fontId="6" fillId="0" borderId="9" xfId="0" applyFont="1" applyBorder="1" applyAlignment="1">
      <alignment horizontal="center" vertical="center" wrapText="1"/>
    </xf>
    <xf numFmtId="0" fontId="11" fillId="2" borderId="4" xfId="0" applyFont="1" applyFill="1" applyBorder="1" applyAlignment="1">
      <alignment horizontal="center" vertical="center"/>
    </xf>
    <xf numFmtId="0" fontId="0" fillId="0" borderId="12" xfId="0" applyBorder="1" applyAlignment="1">
      <alignment horizontal="center" vertical="center"/>
    </xf>
    <xf numFmtId="0" fontId="0" fillId="15" borderId="7" xfId="0" applyFill="1" applyBorder="1" applyAlignment="1">
      <alignment horizontal="left"/>
    </xf>
    <xf numFmtId="0" fontId="0" fillId="15" borderId="2" xfId="0" applyFill="1" applyBorder="1" applyAlignment="1">
      <alignment horizontal="left" vertical="center"/>
    </xf>
    <xf numFmtId="0" fontId="0" fillId="0" borderId="9" xfId="0" applyBorder="1" applyAlignment="1">
      <alignment horizontal="center" vertical="center" wrapText="1"/>
    </xf>
    <xf numFmtId="0" fontId="0" fillId="0" borderId="4" xfId="0" applyBorder="1" applyAlignment="1">
      <alignment horizontal="center" vertical="center"/>
    </xf>
    <xf numFmtId="0" fontId="16" fillId="2" borderId="4" xfId="0" applyFont="1" applyFill="1" applyBorder="1" applyAlignment="1">
      <alignment horizontal="center" vertical="center"/>
    </xf>
    <xf numFmtId="0" fontId="16" fillId="0" borderId="4" xfId="0" applyFont="1" applyBorder="1" applyAlignment="1">
      <alignment horizontal="center" vertical="center"/>
    </xf>
    <xf numFmtId="0" fontId="16"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xf>
    <xf numFmtId="1" fontId="16" fillId="0" borderId="3" xfId="0" applyNumberFormat="1" applyFont="1" applyBorder="1" applyAlignment="1">
      <alignment horizontal="center" vertical="center"/>
    </xf>
    <xf numFmtId="0" fontId="29" fillId="0" borderId="2" xfId="0" applyFont="1" applyBorder="1" applyAlignment="1">
      <alignment horizontal="left" vertical="center" wrapText="1"/>
    </xf>
    <xf numFmtId="0" fontId="29" fillId="0" borderId="2" xfId="0" applyFont="1" applyBorder="1" applyAlignment="1">
      <alignment vertical="center" wrapText="1"/>
    </xf>
    <xf numFmtId="0" fontId="15" fillId="0" borderId="2" xfId="0" applyFont="1" applyBorder="1" applyAlignment="1">
      <alignment vertical="center" wrapText="1"/>
    </xf>
    <xf numFmtId="0" fontId="37" fillId="0" borderId="3" xfId="0" applyFont="1" applyBorder="1" applyAlignment="1" applyProtection="1">
      <alignment vertical="center" wrapText="1"/>
      <protection hidden="1"/>
    </xf>
    <xf numFmtId="0" fontId="25" fillId="0" borderId="15" xfId="0" applyFont="1" applyBorder="1" applyAlignment="1">
      <alignment vertical="center" wrapText="1"/>
    </xf>
    <xf numFmtId="0" fontId="11" fillId="0" borderId="3" xfId="0" applyFont="1" applyBorder="1" applyAlignment="1">
      <alignment horizontal="center" vertical="center"/>
    </xf>
    <xf numFmtId="0" fontId="25" fillId="0" borderId="2" xfId="0" applyFont="1" applyBorder="1" applyAlignment="1">
      <alignment vertical="center" wrapText="1"/>
    </xf>
    <xf numFmtId="0" fontId="6" fillId="0" borderId="2" xfId="0" applyFont="1" applyBorder="1" applyAlignment="1">
      <alignment horizontal="left" vertical="center" wrapText="1"/>
    </xf>
    <xf numFmtId="0" fontId="25" fillId="0" borderId="2" xfId="0" applyFont="1" applyBorder="1" applyAlignment="1">
      <alignment horizontal="left" vertical="center" wrapText="1"/>
    </xf>
    <xf numFmtId="0" fontId="29" fillId="0" borderId="13" xfId="0" applyFont="1" applyBorder="1" applyAlignment="1">
      <alignment horizontal="left" vertical="center" wrapText="1"/>
    </xf>
    <xf numFmtId="0" fontId="16" fillId="0" borderId="34" xfId="0" applyFont="1" applyBorder="1" applyAlignment="1">
      <alignment horizontal="center" vertical="center" wrapText="1"/>
    </xf>
    <xf numFmtId="0" fontId="16" fillId="0" borderId="35" xfId="0" applyFont="1" applyBorder="1" applyAlignment="1">
      <alignment horizontal="center" vertical="center"/>
    </xf>
    <xf numFmtId="1" fontId="16" fillId="0" borderId="36" xfId="0" applyNumberFormat="1" applyFont="1" applyBorder="1" applyAlignment="1">
      <alignment horizontal="center" vertical="center"/>
    </xf>
    <xf numFmtId="0" fontId="8" fillId="5" borderId="4" xfId="0" applyFont="1" applyFill="1" applyBorder="1" applyAlignment="1">
      <alignment horizontal="center" vertical="center"/>
    </xf>
    <xf numFmtId="0" fontId="8" fillId="5" borderId="12" xfId="0" applyFont="1" applyFill="1" applyBorder="1" applyAlignment="1">
      <alignment horizontal="center" vertical="center"/>
    </xf>
    <xf numFmtId="0" fontId="11" fillId="4" borderId="1" xfId="0" applyFont="1" applyFill="1" applyBorder="1" applyAlignment="1">
      <alignment horizontal="center" vertical="center" wrapText="1"/>
    </xf>
    <xf numFmtId="164" fontId="8" fillId="0" borderId="3" xfId="1" applyNumberFormat="1" applyFont="1" applyBorder="1" applyAlignment="1" applyProtection="1">
      <alignment horizontal="center" vertical="center"/>
    </xf>
    <xf numFmtId="0" fontId="10" fillId="0" borderId="2"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0" fillId="0" borderId="0" xfId="0" applyBorder="1" applyAlignment="1">
      <alignment horizontal="center"/>
    </xf>
    <xf numFmtId="0" fontId="0" fillId="0" borderId="0" xfId="0" applyBorder="1"/>
    <xf numFmtId="0" fontId="11" fillId="4" borderId="17" xfId="0" applyFont="1" applyFill="1" applyBorder="1" applyAlignment="1">
      <alignment horizontal="center" vertical="center" wrapText="1"/>
    </xf>
    <xf numFmtId="0" fontId="16" fillId="0" borderId="0" xfId="0" applyFont="1" applyAlignment="1">
      <alignment horizontal="left"/>
    </xf>
    <xf numFmtId="0" fontId="11" fillId="6" borderId="1" xfId="0" applyFont="1" applyFill="1" applyBorder="1" applyAlignment="1">
      <alignment vertical="center"/>
    </xf>
    <xf numFmtId="9" fontId="11" fillId="6" borderId="1" xfId="0" applyNumberFormat="1" applyFont="1" applyFill="1" applyBorder="1" applyAlignment="1">
      <alignment vertical="center"/>
    </xf>
    <xf numFmtId="1" fontId="16" fillId="2" borderId="3" xfId="0" applyNumberFormat="1" applyFont="1" applyFill="1" applyBorder="1" applyAlignment="1">
      <alignment horizontal="center"/>
    </xf>
    <xf numFmtId="1" fontId="16" fillId="0" borderId="3" xfId="0" applyNumberFormat="1" applyFont="1" applyBorder="1" applyAlignment="1">
      <alignment horizontal="center"/>
    </xf>
    <xf numFmtId="1" fontId="11" fillId="0" borderId="3" xfId="0" applyNumberFormat="1" applyFont="1" applyBorder="1" applyAlignment="1">
      <alignment horizontal="center"/>
    </xf>
    <xf numFmtId="0" fontId="15" fillId="0" borderId="1" xfId="0" applyFont="1" applyBorder="1" applyAlignment="1">
      <alignment vertical="center"/>
    </xf>
    <xf numFmtId="0" fontId="3" fillId="0" borderId="1" xfId="0" applyFont="1" applyBorder="1" applyAlignment="1">
      <alignment horizontal="left" vertical="center"/>
    </xf>
    <xf numFmtId="0" fontId="16" fillId="0" borderId="8" xfId="0" applyFont="1" applyBorder="1"/>
    <xf numFmtId="9" fontId="16" fillId="0" borderId="3" xfId="0" applyNumberFormat="1" applyFont="1" applyBorder="1" applyAlignment="1">
      <alignment horizontal="center"/>
    </xf>
    <xf numFmtId="0" fontId="29" fillId="0" borderId="1" xfId="0" applyFont="1" applyBorder="1" applyAlignment="1">
      <alignment vertical="center" wrapText="1"/>
    </xf>
    <xf numFmtId="0" fontId="15" fillId="0" borderId="1" xfId="0" applyFont="1" applyBorder="1" applyAlignment="1">
      <alignment horizontal="center" vertical="center" wrapText="1"/>
    </xf>
    <xf numFmtId="0" fontId="20" fillId="2" borderId="22" xfId="3" applyNumberFormat="1" applyFont="1" applyFill="1" applyBorder="1" applyAlignment="1">
      <alignment horizontal="center" vertical="center" wrapText="1"/>
    </xf>
    <xf numFmtId="0" fontId="11" fillId="4" borderId="1" xfId="0" applyFont="1" applyFill="1" applyBorder="1" applyAlignment="1">
      <alignment horizontal="center" vertical="center"/>
    </xf>
    <xf numFmtId="0" fontId="41" fillId="0" borderId="0" xfId="4"/>
    <xf numFmtId="10" fontId="41" fillId="0" borderId="0" xfId="4" applyNumberFormat="1"/>
    <xf numFmtId="0" fontId="43" fillId="10" borderId="2" xfId="4" applyFont="1" applyFill="1" applyBorder="1" applyAlignment="1">
      <alignment vertical="center" wrapText="1"/>
    </xf>
    <xf numFmtId="0" fontId="43" fillId="9" borderId="2" xfId="4" applyFont="1" applyFill="1" applyBorder="1" applyAlignment="1">
      <alignment vertical="center"/>
    </xf>
    <xf numFmtId="0" fontId="43" fillId="8" borderId="2" xfId="4" applyFont="1" applyFill="1" applyBorder="1" applyAlignment="1">
      <alignment vertical="center"/>
    </xf>
    <xf numFmtId="0" fontId="42" fillId="0" borderId="3" xfId="4" applyFont="1" applyBorder="1" applyAlignment="1">
      <alignment horizontal="left"/>
    </xf>
    <xf numFmtId="0" fontId="42" fillId="0" borderId="7" xfId="4" applyFont="1" applyBorder="1" applyAlignment="1">
      <alignment horizontal="left"/>
    </xf>
    <xf numFmtId="10" fontId="42" fillId="0" borderId="7" xfId="4" applyNumberFormat="1" applyFont="1" applyBorder="1" applyAlignment="1">
      <alignment horizontal="left"/>
    </xf>
    <xf numFmtId="0" fontId="42" fillId="0" borderId="2" xfId="4" applyFont="1" applyBorder="1" applyAlignment="1">
      <alignment horizontal="left"/>
    </xf>
    <xf numFmtId="0" fontId="42" fillId="0" borderId="1" xfId="4" applyFont="1" applyBorder="1" applyAlignment="1">
      <alignment horizontal="left"/>
    </xf>
    <xf numFmtId="0" fontId="43" fillId="7" borderId="2" xfId="4" applyFont="1" applyFill="1" applyBorder="1" applyAlignment="1">
      <alignment vertical="center" wrapText="1"/>
    </xf>
    <xf numFmtId="0" fontId="41" fillId="0" borderId="1" xfId="4" applyBorder="1"/>
    <xf numFmtId="10" fontId="19" fillId="16" borderId="0" xfId="4" applyNumberFormat="1" applyFont="1" applyFill="1" applyAlignment="1">
      <alignment horizontal="center" vertical="center"/>
    </xf>
    <xf numFmtId="0" fontId="19" fillId="16" borderId="0" xfId="4" applyFont="1" applyFill="1" applyAlignment="1">
      <alignment horizontal="center" vertical="center"/>
    </xf>
    <xf numFmtId="0" fontId="41" fillId="0" borderId="0" xfId="4" applyAlignment="1">
      <alignment vertical="center"/>
    </xf>
    <xf numFmtId="9" fontId="19" fillId="0" borderId="1" xfId="3" applyFont="1" applyFill="1" applyBorder="1" applyAlignment="1">
      <alignment horizontal="center" vertical="center"/>
    </xf>
    <xf numFmtId="10" fontId="19" fillId="16" borderId="43" xfId="3" applyNumberFormat="1" applyFont="1" applyFill="1" applyBorder="1" applyAlignment="1">
      <alignment horizontal="center" vertical="center"/>
    </xf>
    <xf numFmtId="9" fontId="19" fillId="16" borderId="43" xfId="3" applyFont="1" applyFill="1" applyBorder="1" applyAlignment="1">
      <alignment horizontal="center" vertical="center"/>
    </xf>
    <xf numFmtId="0" fontId="20" fillId="0" borderId="1" xfId="4" applyFont="1" applyBorder="1" applyAlignment="1">
      <alignment horizontal="center"/>
    </xf>
    <xf numFmtId="0" fontId="20" fillId="2" borderId="1" xfId="4" applyFont="1" applyFill="1" applyBorder="1" applyAlignment="1">
      <alignment horizontal="center" vertical="center"/>
    </xf>
    <xf numFmtId="0" fontId="20" fillId="2" borderId="22" xfId="3" applyNumberFormat="1" applyFont="1" applyFill="1" applyBorder="1" applyAlignment="1">
      <alignment horizontal="center" vertical="center"/>
    </xf>
    <xf numFmtId="10" fontId="20" fillId="2" borderId="22" xfId="3" applyNumberFormat="1" applyFont="1" applyFill="1" applyBorder="1" applyAlignment="1">
      <alignment horizontal="center" vertical="center"/>
    </xf>
    <xf numFmtId="0" fontId="20" fillId="2" borderId="8" xfId="4" applyFont="1" applyFill="1" applyBorder="1" applyAlignment="1">
      <alignment horizontal="center" wrapText="1"/>
    </xf>
    <xf numFmtId="0" fontId="20" fillId="2" borderId="8" xfId="4" applyFont="1" applyFill="1" applyBorder="1" applyAlignment="1">
      <alignment horizontal="center"/>
    </xf>
    <xf numFmtId="0" fontId="45" fillId="2" borderId="8" xfId="4" applyFont="1" applyFill="1" applyBorder="1" applyAlignment="1">
      <alignment horizontal="center" wrapText="1"/>
    </xf>
    <xf numFmtId="0" fontId="20" fillId="2" borderId="8" xfId="4" applyFont="1" applyFill="1" applyBorder="1" applyAlignment="1">
      <alignment horizontal="center" vertical="center" wrapText="1"/>
    </xf>
    <xf numFmtId="0" fontId="41" fillId="0" borderId="1" xfId="4" applyBorder="1" applyAlignment="1">
      <alignment vertical="center" wrapText="1"/>
    </xf>
    <xf numFmtId="0" fontId="19" fillId="0" borderId="1" xfId="4" applyFont="1" applyBorder="1" applyAlignment="1">
      <alignment horizontal="center"/>
    </xf>
    <xf numFmtId="0" fontId="41" fillId="0" borderId="5" xfId="4" applyBorder="1" applyAlignment="1">
      <alignment horizontal="left" vertical="center" wrapText="1"/>
    </xf>
    <xf numFmtId="0" fontId="41" fillId="0" borderId="1" xfId="4" applyBorder="1" applyAlignment="1">
      <alignment horizontal="left" vertical="center" wrapText="1"/>
    </xf>
    <xf numFmtId="0" fontId="20" fillId="2" borderId="8" xfId="4" applyFont="1" applyFill="1" applyBorder="1" applyAlignment="1">
      <alignment horizontal="center" vertical="center"/>
    </xf>
    <xf numFmtId="0" fontId="41" fillId="2" borderId="0" xfId="4" applyFill="1"/>
    <xf numFmtId="0" fontId="19" fillId="2" borderId="1" xfId="3" applyNumberFormat="1" applyFont="1" applyFill="1" applyBorder="1" applyAlignment="1">
      <alignment horizontal="center"/>
    </xf>
    <xf numFmtId="10" fontId="19" fillId="2" borderId="1" xfId="3" applyNumberFormat="1" applyFont="1" applyFill="1" applyBorder="1" applyAlignment="1">
      <alignment horizontal="center"/>
    </xf>
    <xf numFmtId="9" fontId="20" fillId="2" borderId="22" xfId="3" applyFont="1" applyFill="1" applyBorder="1" applyAlignment="1">
      <alignment horizontal="center" vertical="center"/>
    </xf>
    <xf numFmtId="0" fontId="44" fillId="2" borderId="1" xfId="4" applyFont="1" applyFill="1" applyBorder="1" applyAlignment="1">
      <alignment horizontal="center" vertical="center" wrapText="1"/>
    </xf>
    <xf numFmtId="0" fontId="45" fillId="11" borderId="1" xfId="4" applyFont="1" applyFill="1" applyBorder="1" applyAlignment="1">
      <alignment horizontal="center" vertical="center"/>
    </xf>
    <xf numFmtId="0" fontId="48" fillId="0" borderId="1" xfId="4" applyFont="1" applyBorder="1" applyAlignment="1">
      <alignment horizontal="center" vertical="center" wrapText="1"/>
    </xf>
    <xf numFmtId="14" fontId="48" fillId="0" borderId="1" xfId="4" applyNumberFormat="1" applyFont="1" applyBorder="1" applyAlignment="1">
      <alignment horizontal="center" vertical="center" wrapText="1"/>
    </xf>
    <xf numFmtId="0" fontId="19" fillId="0" borderId="0" xfId="4" applyFont="1"/>
    <xf numFmtId="10" fontId="19" fillId="11" borderId="3" xfId="4" applyNumberFormat="1" applyFont="1" applyFill="1" applyBorder="1" applyAlignment="1">
      <alignment horizontal="center" vertical="center"/>
    </xf>
    <xf numFmtId="0" fontId="19" fillId="11" borderId="3" xfId="4" applyFont="1" applyFill="1" applyBorder="1" applyAlignment="1">
      <alignment horizontal="center" vertical="center"/>
    </xf>
    <xf numFmtId="0" fontId="47" fillId="0" borderId="1" xfId="4" applyFont="1" applyBorder="1" applyAlignment="1">
      <alignment horizontal="center" vertical="center"/>
    </xf>
    <xf numFmtId="164" fontId="47" fillId="0" borderId="1" xfId="3" applyNumberFormat="1" applyFont="1" applyBorder="1" applyAlignment="1" applyProtection="1">
      <alignment horizontal="center" vertical="center"/>
    </xf>
    <xf numFmtId="10" fontId="50" fillId="0" borderId="1" xfId="4" applyNumberFormat="1" applyFont="1" applyBorder="1" applyAlignment="1">
      <alignment horizontal="center" vertical="center"/>
    </xf>
    <xf numFmtId="0" fontId="50" fillId="0" borderId="1" xfId="4" applyFont="1" applyBorder="1" applyAlignment="1">
      <alignment horizontal="center" vertical="center"/>
    </xf>
    <xf numFmtId="0" fontId="41" fillId="0" borderId="1" xfId="4" applyBorder="1" applyAlignment="1">
      <alignment horizontal="center"/>
    </xf>
    <xf numFmtId="0" fontId="47" fillId="0" borderId="1" xfId="4" applyFont="1" applyBorder="1" applyAlignment="1">
      <alignment horizontal="center" vertical="center" wrapText="1"/>
    </xf>
    <xf numFmtId="10" fontId="47" fillId="0" borderId="1" xfId="4" applyNumberFormat="1" applyFont="1" applyBorder="1" applyAlignment="1">
      <alignment horizontal="center" vertical="center"/>
    </xf>
    <xf numFmtId="14" fontId="41" fillId="0" borderId="1" xfId="4" applyNumberFormat="1" applyBorder="1" applyAlignment="1">
      <alignment horizontal="center"/>
    </xf>
    <xf numFmtId="10" fontId="41" fillId="0" borderId="0" xfId="4" applyNumberFormat="1" applyAlignment="1">
      <alignment horizontal="center"/>
    </xf>
    <xf numFmtId="0" fontId="41" fillId="0" borderId="0" xfId="4" applyAlignment="1">
      <alignment horizontal="center"/>
    </xf>
    <xf numFmtId="0" fontId="42" fillId="0" borderId="0" xfId="4" applyFont="1" applyAlignment="1">
      <alignment horizontal="center"/>
    </xf>
    <xf numFmtId="9" fontId="0" fillId="0" borderId="0" xfId="1" applyFont="1" applyAlignment="1">
      <alignment horizontal="center"/>
    </xf>
    <xf numFmtId="0" fontId="32" fillId="10" borderId="2" xfId="0" applyFont="1" applyFill="1" applyBorder="1" applyAlignment="1">
      <alignment vertical="center" wrapText="1"/>
    </xf>
    <xf numFmtId="0" fontId="32" fillId="9" borderId="2" xfId="0" applyFont="1" applyFill="1" applyBorder="1" applyAlignment="1">
      <alignment vertical="center"/>
    </xf>
    <xf numFmtId="0" fontId="32" fillId="8" borderId="2" xfId="0" applyFont="1" applyFill="1" applyBorder="1" applyAlignment="1">
      <alignment vertical="center"/>
    </xf>
    <xf numFmtId="9" fontId="16" fillId="0" borderId="7" xfId="1" applyFont="1" applyBorder="1" applyAlignment="1">
      <alignment horizontal="center"/>
    </xf>
    <xf numFmtId="0" fontId="32" fillId="7" borderId="2" xfId="0" applyFont="1" applyFill="1" applyBorder="1" applyAlignment="1">
      <alignment vertical="center" wrapText="1"/>
    </xf>
    <xf numFmtId="9" fontId="6" fillId="6" borderId="17" xfId="1" applyFont="1" applyFill="1" applyBorder="1" applyAlignment="1">
      <alignment horizontal="center"/>
    </xf>
    <xf numFmtId="0" fontId="56" fillId="0" borderId="14" xfId="0" applyFont="1" applyBorder="1" applyAlignment="1">
      <alignment horizontal="center" vertical="center" wrapText="1"/>
    </xf>
    <xf numFmtId="9" fontId="6" fillId="6" borderId="21" xfId="1" applyFont="1" applyFill="1" applyBorder="1" applyAlignment="1">
      <alignment horizontal="center"/>
    </xf>
    <xf numFmtId="0" fontId="6" fillId="2" borderId="2" xfId="0" applyFont="1" applyFill="1" applyBorder="1" applyAlignment="1">
      <alignment horizontal="center" vertical="center" wrapText="1"/>
    </xf>
    <xf numFmtId="0" fontId="6" fillId="2" borderId="5" xfId="0" applyFont="1" applyFill="1" applyBorder="1" applyAlignment="1">
      <alignment horizontal="center" vertical="center"/>
    </xf>
    <xf numFmtId="1" fontId="6" fillId="0" borderId="14" xfId="0" applyNumberFormat="1" applyFont="1" applyBorder="1" applyAlignment="1">
      <alignment horizontal="center" vertical="center"/>
    </xf>
    <xf numFmtId="0" fontId="6" fillId="2" borderId="8" xfId="0" applyFont="1" applyFill="1" applyBorder="1" applyAlignment="1">
      <alignment horizontal="center" vertical="center" wrapText="1"/>
    </xf>
    <xf numFmtId="0" fontId="6" fillId="2" borderId="1" xfId="0" applyFont="1" applyFill="1" applyBorder="1" applyAlignment="1">
      <alignment horizontal="center" vertical="center"/>
    </xf>
    <xf numFmtId="1" fontId="6" fillId="0" borderId="3" xfId="0" applyNumberFormat="1" applyFont="1" applyBorder="1" applyAlignment="1">
      <alignment horizontal="center" vertical="center"/>
    </xf>
    <xf numFmtId="1" fontId="6" fillId="2" borderId="3"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0" xfId="0" applyFont="1" applyFill="1" applyAlignment="1">
      <alignment horizontal="center" vertical="center"/>
    </xf>
    <xf numFmtId="0" fontId="55" fillId="0" borderId="1" xfId="0" applyFont="1" applyBorder="1" applyAlignment="1">
      <alignment horizontal="center" vertical="center"/>
    </xf>
    <xf numFmtId="164" fontId="55" fillId="0" borderId="1" xfId="1" applyNumberFormat="1" applyFont="1" applyBorder="1" applyAlignment="1" applyProtection="1">
      <alignment horizontal="center" vertical="center"/>
    </xf>
    <xf numFmtId="9" fontId="33" fillId="0" borderId="1" xfId="1" applyFont="1" applyBorder="1" applyAlignment="1">
      <alignment horizontal="center" vertical="center"/>
    </xf>
    <xf numFmtId="0" fontId="33" fillId="0" borderId="1" xfId="0" applyFont="1" applyBorder="1" applyAlignment="1">
      <alignment horizontal="center" vertical="center"/>
    </xf>
    <xf numFmtId="0" fontId="55" fillId="0" borderId="1" xfId="0" applyFont="1" applyBorder="1" applyAlignment="1">
      <alignment horizontal="center" vertical="center" wrapText="1"/>
    </xf>
    <xf numFmtId="9" fontId="55" fillId="0" borderId="1" xfId="1" applyFont="1" applyBorder="1" applyAlignment="1">
      <alignment horizontal="center" vertical="center"/>
    </xf>
    <xf numFmtId="9" fontId="6" fillId="4" borderId="16" xfId="1" applyFont="1" applyFill="1" applyBorder="1" applyAlignment="1">
      <alignment horizontal="center" vertical="center"/>
    </xf>
    <xf numFmtId="9" fontId="6" fillId="4" borderId="3" xfId="1" applyFont="1" applyFill="1" applyBorder="1" applyAlignment="1">
      <alignment horizontal="center" vertical="center"/>
    </xf>
    <xf numFmtId="9" fontId="6" fillId="4" borderId="7" xfId="1" applyFont="1" applyFill="1" applyBorder="1" applyAlignment="1">
      <alignment horizontal="center" vertical="center"/>
    </xf>
    <xf numFmtId="9" fontId="6" fillId="6" borderId="0" xfId="1" applyFont="1" applyFill="1" applyBorder="1" applyAlignment="1">
      <alignment horizontal="center"/>
    </xf>
    <xf numFmtId="9" fontId="6" fillId="4" borderId="1" xfId="1" applyFont="1" applyFill="1" applyBorder="1" applyAlignment="1">
      <alignment horizontal="center" vertical="center"/>
    </xf>
    <xf numFmtId="0" fontId="0" fillId="0" borderId="0" xfId="0" applyAlignment="1">
      <alignment horizontal="center" wrapText="1"/>
    </xf>
    <xf numFmtId="0" fontId="10" fillId="0" borderId="1" xfId="0" applyFont="1" applyBorder="1" applyAlignment="1">
      <alignment horizontal="center" vertical="center" wrapText="1"/>
    </xf>
    <xf numFmtId="9" fontId="11" fillId="6" borderId="14" xfId="0" applyNumberFormat="1" applyFont="1" applyFill="1" applyBorder="1" applyAlignment="1">
      <alignment vertical="center" wrapText="1"/>
    </xf>
    <xf numFmtId="0" fontId="11" fillId="6" borderId="21" xfId="0" applyFont="1" applyFill="1" applyBorder="1" applyAlignment="1">
      <alignment vertical="center" wrapText="1"/>
    </xf>
    <xf numFmtId="0" fontId="16" fillId="0" borderId="6" xfId="0" applyFont="1" applyBorder="1" applyAlignment="1">
      <alignment horizontal="left" wrapText="1"/>
    </xf>
    <xf numFmtId="0" fontId="16" fillId="0" borderId="1" xfId="0" applyFont="1" applyBorder="1" applyAlignment="1">
      <alignment horizontal="left" wrapText="1"/>
    </xf>
    <xf numFmtId="0" fontId="16" fillId="0" borderId="0" xfId="0" applyFont="1" applyAlignment="1">
      <alignment horizontal="left" wrapText="1"/>
    </xf>
    <xf numFmtId="0" fontId="0" fillId="10" borderId="2" xfId="0" applyFill="1" applyBorder="1" applyAlignment="1">
      <alignment vertical="center" wrapText="1"/>
    </xf>
    <xf numFmtId="0" fontId="0" fillId="9" borderId="2" xfId="0" applyFill="1" applyBorder="1" applyAlignment="1">
      <alignment vertical="center"/>
    </xf>
    <xf numFmtId="0" fontId="0" fillId="8" borderId="2" xfId="0" applyFill="1" applyBorder="1" applyAlignment="1">
      <alignment vertical="center"/>
    </xf>
    <xf numFmtId="0" fontId="0" fillId="0" borderId="3" xfId="0" applyBorder="1" applyAlignment="1">
      <alignment horizontal="left"/>
    </xf>
    <xf numFmtId="0" fontId="0" fillId="0" borderId="7" xfId="0" applyBorder="1" applyAlignment="1">
      <alignment horizontal="left"/>
    </xf>
    <xf numFmtId="0" fontId="0" fillId="0" borderId="7" xfId="0" applyBorder="1" applyAlignment="1">
      <alignment horizontal="center" vertical="center"/>
    </xf>
    <xf numFmtId="0" fontId="0" fillId="0" borderId="2" xfId="0" applyBorder="1" applyAlignment="1">
      <alignment horizontal="left"/>
    </xf>
    <xf numFmtId="0" fontId="0" fillId="0" borderId="1" xfId="0" applyBorder="1" applyAlignment="1">
      <alignment horizontal="left"/>
    </xf>
    <xf numFmtId="0" fontId="0" fillId="7" borderId="2" xfId="0" applyFill="1" applyBorder="1" applyAlignment="1">
      <alignment vertical="center" wrapText="1"/>
    </xf>
    <xf numFmtId="9" fontId="6" fillId="0" borderId="44" xfId="1" applyFont="1" applyFill="1" applyBorder="1"/>
    <xf numFmtId="1" fontId="6" fillId="0" borderId="29" xfId="0" applyNumberFormat="1" applyFont="1" applyBorder="1" applyAlignment="1">
      <alignment horizontal="center" vertical="center"/>
    </xf>
    <xf numFmtId="0" fontId="6" fillId="0" borderId="9" xfId="0" applyFont="1" applyBorder="1"/>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8" xfId="0" applyFont="1" applyBorder="1"/>
    <xf numFmtId="0" fontId="6" fillId="0" borderId="2" xfId="0" applyFont="1" applyBorder="1" applyAlignment="1">
      <alignment horizontal="center" vertical="center"/>
    </xf>
    <xf numFmtId="0" fontId="6" fillId="2" borderId="8" xfId="0" applyFont="1" applyFill="1" applyBorder="1"/>
    <xf numFmtId="0" fontId="6" fillId="2" borderId="2" xfId="0" applyFont="1" applyFill="1" applyBorder="1" applyAlignment="1">
      <alignment horizontal="center" vertical="center"/>
    </xf>
    <xf numFmtId="0" fontId="6" fillId="2" borderId="8" xfId="0" applyFont="1" applyFill="1" applyBorder="1" applyAlignment="1">
      <alignment wrapText="1"/>
    </xf>
    <xf numFmtId="0" fontId="6" fillId="2" borderId="8" xfId="0" applyFont="1" applyFill="1" applyBorder="1" applyAlignment="1">
      <alignment horizont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xf>
    <xf numFmtId="0" fontId="55" fillId="4" borderId="3" xfId="0" applyFont="1" applyFill="1" applyBorder="1" applyAlignment="1">
      <alignment horizontal="center" vertical="center"/>
    </xf>
    <xf numFmtId="0" fontId="6" fillId="5" borderId="0" xfId="0" applyFont="1" applyFill="1" applyAlignment="1">
      <alignment horizontal="center"/>
    </xf>
    <xf numFmtId="0" fontId="6" fillId="5" borderId="7" xfId="0" applyFont="1" applyFill="1" applyBorder="1" applyAlignment="1">
      <alignment horizontal="center" vertical="center"/>
    </xf>
    <xf numFmtId="0" fontId="6" fillId="6" borderId="0" xfId="0" applyFont="1" applyFill="1" applyBorder="1" applyAlignment="1">
      <alignment horizontal="center"/>
    </xf>
    <xf numFmtId="1" fontId="56" fillId="0" borderId="5" xfId="0" applyNumberFormat="1" applyFont="1" applyBorder="1" applyAlignment="1">
      <alignment horizontal="center" vertical="center" wrapText="1"/>
    </xf>
    <xf numFmtId="0" fontId="6" fillId="0" borderId="11" xfId="0" applyFont="1" applyFill="1" applyBorder="1" applyAlignment="1">
      <alignment vertical="center"/>
    </xf>
    <xf numFmtId="0" fontId="0" fillId="0" borderId="11" xfId="0" applyFill="1" applyBorder="1" applyAlignment="1">
      <alignment vertical="center"/>
    </xf>
    <xf numFmtId="0" fontId="0" fillId="0" borderId="12" xfId="0" applyFill="1" applyBorder="1" applyAlignment="1">
      <alignment vertical="center"/>
    </xf>
    <xf numFmtId="165" fontId="0" fillId="0" borderId="1" xfId="1" applyNumberFormat="1" applyFont="1" applyFill="1" applyBorder="1" applyAlignment="1">
      <alignment horizontal="center" vertical="center"/>
    </xf>
    <xf numFmtId="165" fontId="59" fillId="0" borderId="1" xfId="1" applyNumberFormat="1" applyFont="1" applyFill="1" applyBorder="1" applyAlignment="1">
      <alignment horizontal="center" vertical="center" wrapText="1"/>
    </xf>
    <xf numFmtId="165" fontId="0" fillId="0" borderId="1" xfId="1" applyNumberFormat="1" applyFont="1" applyFill="1" applyBorder="1" applyAlignment="1">
      <alignment horizontal="center" vertical="center" wrapText="1"/>
    </xf>
    <xf numFmtId="0" fontId="6"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0" fillId="0" borderId="2" xfId="0" applyFill="1" applyBorder="1" applyAlignment="1">
      <alignment vertical="top" wrapText="1"/>
    </xf>
    <xf numFmtId="0" fontId="59" fillId="0" borderId="2" xfId="0" applyFont="1" applyFill="1" applyBorder="1" applyAlignment="1">
      <alignment vertical="center" wrapText="1"/>
    </xf>
    <xf numFmtId="0" fontId="59" fillId="0" borderId="4" xfId="0" applyFont="1" applyFill="1" applyBorder="1" applyAlignment="1">
      <alignment horizontal="left" vertical="top" wrapText="1"/>
    </xf>
    <xf numFmtId="0" fontId="0" fillId="0" borderId="13" xfId="0" applyFill="1" applyBorder="1" applyAlignment="1">
      <alignment horizontal="left" vertical="center" wrapText="1"/>
    </xf>
    <xf numFmtId="0" fontId="0" fillId="0" borderId="4" xfId="0" applyFill="1" applyBorder="1" applyAlignment="1">
      <alignment horizontal="left" vertical="center" wrapText="1"/>
    </xf>
    <xf numFmtId="0" fontId="0" fillId="0" borderId="0" xfId="0" applyFill="1"/>
    <xf numFmtId="0" fontId="33" fillId="0" borderId="2" xfId="0" applyFont="1" applyFill="1" applyBorder="1" applyAlignment="1">
      <alignment vertical="center" wrapText="1"/>
    </xf>
    <xf numFmtId="0" fontId="33" fillId="0" borderId="15" xfId="0" applyFont="1" applyFill="1" applyBorder="1" applyAlignment="1">
      <alignment vertical="center" wrapText="1"/>
    </xf>
    <xf numFmtId="0" fontId="33" fillId="0" borderId="4" xfId="0" applyFont="1" applyFill="1" applyBorder="1" applyAlignment="1">
      <alignment horizontal="left" vertical="center" wrapText="1"/>
    </xf>
    <xf numFmtId="0" fontId="0" fillId="0" borderId="2" xfId="0" applyFill="1" applyBorder="1" applyAlignment="1">
      <alignment vertical="center" wrapText="1"/>
    </xf>
    <xf numFmtId="0" fontId="0" fillId="0" borderId="0" xfId="0" applyFill="1" applyAlignment="1">
      <alignment wrapText="1"/>
    </xf>
    <xf numFmtId="0" fontId="59" fillId="0" borderId="4" xfId="0" applyFont="1" applyFill="1" applyBorder="1" applyAlignment="1">
      <alignment horizontal="left" vertical="center" wrapText="1"/>
    </xf>
    <xf numFmtId="0" fontId="6" fillId="0" borderId="1" xfId="0" applyFont="1" applyFill="1" applyBorder="1" applyAlignment="1">
      <alignment horizontal="center" wrapText="1"/>
    </xf>
    <xf numFmtId="0" fontId="57" fillId="0" borderId="1" xfId="0" applyFont="1" applyFill="1" applyBorder="1" applyAlignment="1">
      <alignment horizontal="center" vertical="center" wrapText="1"/>
    </xf>
    <xf numFmtId="0" fontId="6" fillId="0" borderId="4" xfId="0" applyFont="1" applyFill="1" applyBorder="1" applyAlignment="1">
      <alignment horizontal="center" vertical="center"/>
    </xf>
    <xf numFmtId="9" fontId="0" fillId="0" borderId="1" xfId="1" applyFont="1" applyFill="1" applyBorder="1" applyAlignment="1">
      <alignment horizontal="center" vertical="center"/>
    </xf>
    <xf numFmtId="10" fontId="0" fillId="0" borderId="1" xfId="1" applyNumberFormat="1" applyFont="1" applyFill="1" applyBorder="1" applyAlignment="1">
      <alignment horizontal="center" vertical="center"/>
    </xf>
    <xf numFmtId="10" fontId="0" fillId="0" borderId="1" xfId="1" applyNumberFormat="1" applyFont="1" applyFill="1" applyBorder="1" applyAlignment="1">
      <alignment horizontal="center" vertical="center" wrapText="1"/>
    </xf>
    <xf numFmtId="0" fontId="0" fillId="0" borderId="2" xfId="0" applyFill="1" applyBorder="1" applyAlignment="1">
      <alignment horizontal="left"/>
    </xf>
    <xf numFmtId="0" fontId="0" fillId="0" borderId="7" xfId="0" applyFill="1" applyBorder="1" applyAlignment="1">
      <alignment horizontal="left"/>
    </xf>
    <xf numFmtId="9" fontId="0" fillId="0" borderId="4" xfId="1" applyFont="1" applyFill="1" applyBorder="1" applyAlignment="1">
      <alignment vertical="center"/>
    </xf>
    <xf numFmtId="165" fontId="0" fillId="0" borderId="1" xfId="1" applyNumberFormat="1" applyFont="1" applyFill="1" applyBorder="1" applyAlignment="1">
      <alignment horizontal="center" wrapText="1"/>
    </xf>
    <xf numFmtId="10" fontId="0" fillId="0" borderId="1" xfId="1" applyNumberFormat="1" applyFont="1" applyFill="1" applyBorder="1" applyAlignment="1">
      <alignment horizontal="center" wrapText="1"/>
    </xf>
    <xf numFmtId="9" fontId="0" fillId="0" borderId="1" xfId="1" applyFont="1" applyFill="1" applyBorder="1" applyAlignment="1">
      <alignment horizontal="center" vertical="center" wrapText="1"/>
    </xf>
    <xf numFmtId="0" fontId="6"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9" fontId="0" fillId="0" borderId="1" xfId="1" applyFont="1" applyFill="1" applyBorder="1" applyAlignment="1">
      <alignment vertical="center" wrapText="1"/>
    </xf>
    <xf numFmtId="0" fontId="0" fillId="0" borderId="1" xfId="0" applyFill="1" applyBorder="1" applyAlignment="1">
      <alignment vertical="top" wrapText="1"/>
    </xf>
    <xf numFmtId="0" fontId="0" fillId="0" borderId="1" xfId="0" applyFill="1" applyBorder="1"/>
    <xf numFmtId="0" fontId="6" fillId="0" borderId="1" xfId="0" applyFont="1" applyFill="1" applyBorder="1" applyAlignment="1">
      <alignment horizontal="left" vertical="center" wrapText="1"/>
    </xf>
    <xf numFmtId="0" fontId="33" fillId="0" borderId="1" xfId="0" applyFont="1" applyFill="1" applyBorder="1" applyAlignment="1">
      <alignment vertical="center" wrapText="1"/>
    </xf>
    <xf numFmtId="0" fontId="33" fillId="0" borderId="1" xfId="0" applyFont="1" applyFill="1"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wrapText="1"/>
    </xf>
    <xf numFmtId="9" fontId="0" fillId="0" borderId="1" xfId="1" applyFont="1" applyFill="1" applyBorder="1" applyAlignment="1">
      <alignment horizontal="center"/>
    </xf>
    <xf numFmtId="10" fontId="0" fillId="0" borderId="1" xfId="1" applyNumberFormat="1" applyFont="1" applyFill="1" applyBorder="1" applyAlignment="1">
      <alignment horizontal="center"/>
    </xf>
    <xf numFmtId="0" fontId="0" fillId="0" borderId="1" xfId="0" applyFill="1" applyBorder="1" applyAlignment="1">
      <alignment horizontal="left" vertical="center"/>
    </xf>
    <xf numFmtId="0" fontId="0" fillId="0" borderId="1" xfId="0" applyFill="1" applyBorder="1" applyAlignment="1">
      <alignment horizontal="left"/>
    </xf>
    <xf numFmtId="0" fontId="0" fillId="0" borderId="2" xfId="0" applyFill="1" applyBorder="1"/>
    <xf numFmtId="0" fontId="0" fillId="0" borderId="7" xfId="0" applyFill="1" applyBorder="1"/>
    <xf numFmtId="0" fontId="57" fillId="0" borderId="4" xfId="0" applyFont="1" applyFill="1" applyBorder="1" applyAlignment="1">
      <alignment horizontal="center" vertical="center" wrapText="1"/>
    </xf>
    <xf numFmtId="0" fontId="57" fillId="0" borderId="5" xfId="0" applyFont="1" applyFill="1" applyBorder="1" applyAlignment="1">
      <alignment horizontal="center" vertical="center" wrapText="1"/>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4" xfId="0" applyFont="1" applyFill="1" applyBorder="1" applyAlignment="1">
      <alignment horizontal="center"/>
    </xf>
    <xf numFmtId="0" fontId="6" fillId="0" borderId="5" xfId="0" applyFont="1" applyFill="1" applyBorder="1" applyAlignment="1">
      <alignment horizontal="center"/>
    </xf>
    <xf numFmtId="0" fontId="0" fillId="0" borderId="2" xfId="0" applyFill="1" applyBorder="1" applyAlignment="1">
      <alignment horizontal="left" vertical="center"/>
    </xf>
    <xf numFmtId="0" fontId="0" fillId="0" borderId="3" xfId="0" applyFill="1" applyBorder="1" applyAlignment="1">
      <alignment horizontal="left" vertical="center"/>
    </xf>
    <xf numFmtId="0" fontId="57" fillId="0" borderId="1" xfId="0" applyFont="1" applyFill="1" applyBorder="1" applyAlignment="1">
      <alignment horizontal="center" vertical="center" wrapText="1"/>
    </xf>
    <xf numFmtId="0" fontId="59" fillId="0" borderId="2" xfId="0" applyFont="1" applyFill="1" applyBorder="1" applyAlignment="1">
      <alignment vertical="center" wrapText="1"/>
    </xf>
    <xf numFmtId="0" fontId="59" fillId="0" borderId="7" xfId="0" applyFont="1" applyFill="1" applyBorder="1" applyAlignment="1">
      <alignment vertical="center" wrapText="1"/>
    </xf>
    <xf numFmtId="0" fontId="0" fillId="0" borderId="7" xfId="0" applyFill="1" applyBorder="1" applyAlignment="1">
      <alignment horizontal="left" vertical="center"/>
    </xf>
    <xf numFmtId="0" fontId="0" fillId="0" borderId="2" xfId="0" applyFill="1" applyBorder="1" applyAlignment="1">
      <alignment horizontal="left" vertical="center" wrapText="1"/>
    </xf>
    <xf numFmtId="0" fontId="0" fillId="0" borderId="7" xfId="0" applyFill="1" applyBorder="1" applyAlignment="1">
      <alignment horizontal="left" vertical="center" wrapText="1"/>
    </xf>
    <xf numFmtId="0" fontId="57" fillId="0" borderId="6" xfId="0" applyFont="1" applyFill="1" applyBorder="1" applyAlignment="1">
      <alignment horizontal="center" vertical="center" wrapText="1"/>
    </xf>
    <xf numFmtId="0" fontId="0" fillId="0" borderId="1" xfId="0" applyFill="1" applyBorder="1" applyAlignment="1">
      <alignment horizontal="left" wrapText="1"/>
    </xf>
    <xf numFmtId="0" fontId="0" fillId="0" borderId="2" xfId="0" applyFill="1" applyBorder="1" applyAlignment="1">
      <alignment horizontal="left" wrapText="1"/>
    </xf>
    <xf numFmtId="0" fontId="0" fillId="0" borderId="7" xfId="0" applyFill="1" applyBorder="1" applyAlignment="1">
      <alignment horizontal="left" wrapText="1"/>
    </xf>
    <xf numFmtId="0" fontId="57" fillId="0" borderId="7" xfId="0" applyFont="1" applyFill="1" applyBorder="1" applyAlignment="1">
      <alignment horizontal="center" vertical="center" wrapText="1"/>
    </xf>
    <xf numFmtId="0" fontId="57" fillId="0" borderId="3" xfId="0" applyFont="1" applyFill="1" applyBorder="1" applyAlignment="1">
      <alignment horizontal="center" vertical="center" wrapText="1"/>
    </xf>
    <xf numFmtId="0" fontId="0" fillId="0" borderId="1" xfId="0" applyBorder="1" applyAlignment="1">
      <alignment horizontal="left"/>
    </xf>
    <xf numFmtId="0" fontId="0" fillId="0" borderId="6" xfId="0" applyBorder="1" applyAlignment="1">
      <alignment horizontal="left"/>
    </xf>
    <xf numFmtId="0" fontId="0" fillId="0" borderId="2" xfId="0" applyFill="1" applyBorder="1" applyAlignment="1">
      <alignment vertical="center"/>
    </xf>
    <xf numFmtId="0" fontId="0" fillId="0" borderId="7" xfId="0" applyFill="1" applyBorder="1" applyAlignment="1">
      <alignment vertical="center"/>
    </xf>
    <xf numFmtId="0" fontId="0" fillId="0" borderId="2" xfId="0" applyFill="1" applyBorder="1" applyAlignment="1">
      <alignment horizontal="left"/>
    </xf>
    <xf numFmtId="0" fontId="0" fillId="0" borderId="7" xfId="0" applyFill="1" applyBorder="1" applyAlignment="1">
      <alignment horizontal="left"/>
    </xf>
    <xf numFmtId="0" fontId="6" fillId="5" borderId="1" xfId="0" applyFont="1" applyFill="1" applyBorder="1" applyAlignment="1">
      <alignment horizontal="center" vertical="center"/>
    </xf>
    <xf numFmtId="0" fontId="6" fillId="5" borderId="1" xfId="0" applyFont="1" applyFill="1" applyBorder="1" applyAlignment="1">
      <alignment horizontal="center"/>
    </xf>
    <xf numFmtId="0" fontId="6" fillId="0" borderId="1" xfId="0" applyFont="1" applyFill="1" applyBorder="1" applyAlignment="1">
      <alignment horizontal="center" wrapText="1"/>
    </xf>
    <xf numFmtId="0" fontId="6" fillId="0" borderId="1" xfId="0" applyFont="1" applyFill="1" applyBorder="1" applyAlignment="1">
      <alignment horizontal="center"/>
    </xf>
    <xf numFmtId="0" fontId="57" fillId="0" borderId="2"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59" fillId="0" borderId="2" xfId="0" applyFont="1" applyFill="1" applyBorder="1" applyAlignment="1">
      <alignment horizontal="left" vertical="center" wrapText="1"/>
    </xf>
    <xf numFmtId="0" fontId="59" fillId="0" borderId="7" xfId="0" applyFont="1" applyFill="1" applyBorder="1" applyAlignment="1">
      <alignment horizontal="left" vertical="center" wrapText="1"/>
    </xf>
    <xf numFmtId="0" fontId="55" fillId="3" borderId="1" xfId="0" applyFont="1" applyFill="1" applyBorder="1" applyAlignment="1">
      <alignment horizontal="center" vertical="center" wrapText="1"/>
    </xf>
    <xf numFmtId="0" fontId="55" fillId="4" borderId="2" xfId="0" applyFont="1" applyFill="1" applyBorder="1" applyAlignment="1">
      <alignment horizontal="center" vertical="center"/>
    </xf>
    <xf numFmtId="0" fontId="55" fillId="4" borderId="7" xfId="0" applyFont="1" applyFill="1" applyBorder="1" applyAlignment="1">
      <alignment horizontal="center" vertical="center"/>
    </xf>
    <xf numFmtId="0" fontId="55" fillId="4"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6" xfId="0" applyFont="1" applyFill="1" applyBorder="1" applyAlignment="1">
      <alignment horizontal="center"/>
    </xf>
    <xf numFmtId="0" fontId="6" fillId="5" borderId="35" xfId="0" applyFont="1" applyFill="1" applyBorder="1" applyAlignment="1">
      <alignment horizontal="center"/>
    </xf>
    <xf numFmtId="0" fontId="6" fillId="5" borderId="26" xfId="0" applyFont="1" applyFill="1" applyBorder="1" applyAlignment="1">
      <alignment horizontal="center"/>
    </xf>
    <xf numFmtId="0" fontId="6" fillId="5" borderId="34" xfId="0" applyFont="1" applyFill="1" applyBorder="1" applyAlignment="1">
      <alignment horizontal="center"/>
    </xf>
    <xf numFmtId="0" fontId="59" fillId="0" borderId="1" xfId="0" applyFont="1" applyFill="1" applyBorder="1" applyAlignment="1">
      <alignment vertical="center" wrapText="1"/>
    </xf>
    <xf numFmtId="0" fontId="6" fillId="5" borderId="22" xfId="0" applyFont="1" applyFill="1" applyBorder="1" applyAlignment="1">
      <alignment horizontal="center"/>
    </xf>
    <xf numFmtId="0" fontId="6" fillId="5" borderId="2" xfId="0" applyFont="1" applyFill="1" applyBorder="1" applyAlignment="1">
      <alignment horizontal="center"/>
    </xf>
    <xf numFmtId="0" fontId="6" fillId="5" borderId="8" xfId="0" applyFont="1" applyFill="1" applyBorder="1" applyAlignment="1">
      <alignment horizontal="center"/>
    </xf>
    <xf numFmtId="0" fontId="6" fillId="5" borderId="0" xfId="0" applyFont="1" applyFill="1" applyAlignment="1">
      <alignment horizontal="center" vertical="center"/>
    </xf>
    <xf numFmtId="0" fontId="6" fillId="5" borderId="17" xfId="0" applyFont="1" applyFill="1" applyBorder="1" applyAlignment="1">
      <alignment horizontal="center" vertical="center"/>
    </xf>
    <xf numFmtId="9" fontId="55" fillId="0" borderId="11" xfId="1" applyFont="1" applyFill="1" applyBorder="1" applyAlignment="1">
      <alignment horizontal="center"/>
    </xf>
    <xf numFmtId="9" fontId="55" fillId="0" borderId="21" xfId="1" applyFont="1" applyFill="1" applyBorder="1" applyAlignment="1">
      <alignment horizontal="center"/>
    </xf>
    <xf numFmtId="9" fontId="55" fillId="0" borderId="12" xfId="1" applyFont="1" applyFill="1" applyBorder="1" applyAlignment="1">
      <alignment horizontal="center"/>
    </xf>
    <xf numFmtId="0" fontId="6" fillId="6" borderId="21" xfId="0" applyFont="1" applyFill="1" applyBorder="1" applyAlignment="1">
      <alignment horizontal="center"/>
    </xf>
    <xf numFmtId="0" fontId="6" fillId="6" borderId="12" xfId="0" applyFont="1" applyFill="1" applyBorder="1" applyAlignment="1">
      <alignment horizontal="center"/>
    </xf>
    <xf numFmtId="0" fontId="6" fillId="6" borderId="0" xfId="0" applyFont="1" applyFill="1" applyAlignment="1">
      <alignment horizontal="center"/>
    </xf>
    <xf numFmtId="0" fontId="6" fillId="6" borderId="14" xfId="0" applyFont="1" applyFill="1" applyBorder="1" applyAlignment="1">
      <alignment horizontal="center"/>
    </xf>
    <xf numFmtId="0" fontId="6" fillId="6" borderId="17" xfId="0" applyFont="1" applyFill="1" applyBorder="1" applyAlignment="1">
      <alignment horizontal="center"/>
    </xf>
    <xf numFmtId="0" fontId="0" fillId="0" borderId="1" xfId="0" applyFill="1" applyBorder="1" applyAlignment="1">
      <alignment vertical="center"/>
    </xf>
    <xf numFmtId="0" fontId="6" fillId="0" borderId="1" xfId="0" applyFont="1" applyFill="1" applyBorder="1" applyAlignment="1">
      <alignment horizontal="center" vertical="center"/>
    </xf>
    <xf numFmtId="0" fontId="0" fillId="0" borderId="1" xfId="0" applyFill="1" applyBorder="1" applyAlignment="1">
      <alignment vertical="center" wrapText="1"/>
    </xf>
    <xf numFmtId="0" fontId="0" fillId="0" borderId="1" xfId="0" applyFill="1" applyBorder="1"/>
    <xf numFmtId="0" fontId="0" fillId="0" borderId="1" xfId="0" applyFill="1" applyBorder="1" applyAlignment="1">
      <alignment horizontal="left" vertical="center" wrapText="1"/>
    </xf>
    <xf numFmtId="0" fontId="16" fillId="0" borderId="1" xfId="0" applyFont="1" applyBorder="1" applyAlignment="1">
      <alignment horizontal="left"/>
    </xf>
    <xf numFmtId="0" fontId="16" fillId="0" borderId="6" xfId="0" applyFont="1" applyBorder="1" applyAlignment="1">
      <alignment horizontal="left"/>
    </xf>
    <xf numFmtId="0" fontId="0" fillId="0" borderId="1" xfId="0" applyFill="1" applyBorder="1" applyAlignment="1">
      <alignment horizontal="left"/>
    </xf>
    <xf numFmtId="0" fontId="0" fillId="0" borderId="4" xfId="0" applyFill="1" applyBorder="1" applyAlignment="1">
      <alignment horizontal="left" wrapText="1"/>
    </xf>
    <xf numFmtId="0" fontId="0" fillId="0" borderId="5" xfId="0" applyFill="1" applyBorder="1" applyAlignment="1">
      <alignment horizontal="left" wrapText="1"/>
    </xf>
    <xf numFmtId="0" fontId="6" fillId="5" borderId="3" xfId="0" applyFont="1" applyFill="1" applyBorder="1" applyAlignment="1">
      <alignment horizont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9" fontId="6" fillId="4" borderId="1" xfId="1" applyFont="1" applyFill="1" applyBorder="1" applyAlignment="1">
      <alignment horizontal="center" vertical="center"/>
    </xf>
    <xf numFmtId="0" fontId="0" fillId="0" borderId="1" xfId="0" applyFill="1" applyBorder="1" applyAlignment="1">
      <alignment horizontal="left" vertical="top" wrapText="1"/>
    </xf>
    <xf numFmtId="0" fontId="41" fillId="0" borderId="2" xfId="4" applyBorder="1" applyAlignment="1">
      <alignment horizontal="left" vertical="top" wrapText="1"/>
    </xf>
    <xf numFmtId="0" fontId="41" fillId="0" borderId="3" xfId="4" applyBorder="1" applyAlignment="1">
      <alignment horizontal="left" vertical="top" wrapText="1"/>
    </xf>
    <xf numFmtId="0" fontId="41" fillId="0" borderId="1" xfId="4" applyBorder="1" applyAlignment="1">
      <alignment horizontal="left" vertical="center" wrapText="1"/>
    </xf>
    <xf numFmtId="0" fontId="41" fillId="0" borderId="1" xfId="4" applyBorder="1" applyAlignment="1">
      <alignment vertical="center" wrapText="1"/>
    </xf>
    <xf numFmtId="0" fontId="19" fillId="16" borderId="21" xfId="4" applyFont="1" applyFill="1" applyBorder="1" applyAlignment="1">
      <alignment horizontal="center" vertical="center"/>
    </xf>
    <xf numFmtId="0" fontId="19" fillId="16" borderId="12" xfId="4" applyFont="1" applyFill="1" applyBorder="1" applyAlignment="1">
      <alignment horizontal="center" vertical="center"/>
    </xf>
    <xf numFmtId="0" fontId="19" fillId="16" borderId="0" xfId="4" applyFont="1" applyFill="1" applyAlignment="1">
      <alignment horizontal="center" vertical="center"/>
    </xf>
    <xf numFmtId="0" fontId="19" fillId="16" borderId="14" xfId="4" applyFont="1" applyFill="1" applyBorder="1" applyAlignment="1">
      <alignment horizontal="center" vertical="center"/>
    </xf>
    <xf numFmtId="0" fontId="42" fillId="0" borderId="1" xfId="4" applyFont="1" applyBorder="1" applyAlignment="1">
      <alignment horizontal="left"/>
    </xf>
    <xf numFmtId="0" fontId="42" fillId="0" borderId="6" xfId="4" applyFont="1" applyBorder="1" applyAlignment="1">
      <alignment horizontal="left"/>
    </xf>
    <xf numFmtId="0" fontId="41" fillId="0" borderId="2" xfId="4" applyBorder="1" applyAlignment="1">
      <alignment horizontal="left" vertical="center" wrapText="1"/>
    </xf>
    <xf numFmtId="0" fontId="41" fillId="0" borderId="24" xfId="4" applyBorder="1" applyAlignment="1">
      <alignment horizontal="left" vertical="center" wrapText="1"/>
    </xf>
    <xf numFmtId="0" fontId="41" fillId="0" borderId="2" xfId="4" applyBorder="1" applyAlignment="1">
      <alignment vertical="center" wrapText="1"/>
    </xf>
    <xf numFmtId="0" fontId="41" fillId="0" borderId="24" xfId="4" applyBorder="1" applyAlignment="1">
      <alignment vertical="center" wrapText="1"/>
    </xf>
    <xf numFmtId="0" fontId="41" fillId="0" borderId="1" xfId="4" applyBorder="1"/>
    <xf numFmtId="0" fontId="41" fillId="0" borderId="3" xfId="4" applyBorder="1" applyAlignment="1">
      <alignment horizontal="left" vertical="center" wrapText="1"/>
    </xf>
    <xf numFmtId="0" fontId="41" fillId="0" borderId="2" xfId="4" applyBorder="1" applyAlignment="1">
      <alignment horizontal="left"/>
    </xf>
    <xf numFmtId="0" fontId="41" fillId="0" borderId="3" xfId="4" applyBorder="1" applyAlignment="1">
      <alignment horizontal="left"/>
    </xf>
    <xf numFmtId="0" fontId="41" fillId="0" borderId="1" xfId="4" applyBorder="1" applyAlignment="1">
      <alignment horizontal="left"/>
    </xf>
    <xf numFmtId="0" fontId="52" fillId="3" borderId="1" xfId="4" applyFont="1" applyFill="1" applyBorder="1" applyAlignment="1">
      <alignment horizontal="center" vertical="center" wrapText="1"/>
    </xf>
    <xf numFmtId="0" fontId="19" fillId="11" borderId="21" xfId="4" applyFont="1" applyFill="1" applyBorder="1" applyAlignment="1">
      <alignment horizontal="center" vertical="center"/>
    </xf>
    <xf numFmtId="0" fontId="19" fillId="11" borderId="42" xfId="4" applyFont="1" applyFill="1" applyBorder="1" applyAlignment="1">
      <alignment horizontal="center" vertical="center"/>
    </xf>
    <xf numFmtId="0" fontId="19" fillId="11" borderId="0" xfId="4" applyFont="1" applyFill="1" applyAlignment="1">
      <alignment horizontal="center" vertical="center"/>
    </xf>
    <xf numFmtId="0" fontId="19" fillId="11" borderId="38" xfId="4" applyFont="1" applyFill="1" applyBorder="1" applyAlignment="1">
      <alignment horizontal="center" vertical="center"/>
    </xf>
    <xf numFmtId="0" fontId="19" fillId="11" borderId="17" xfId="4" applyFont="1" applyFill="1" applyBorder="1" applyAlignment="1">
      <alignment horizontal="center" vertical="center"/>
    </xf>
    <xf numFmtId="0" fontId="19" fillId="11" borderId="37" xfId="4" applyFont="1" applyFill="1" applyBorder="1" applyAlignment="1">
      <alignment horizontal="center" vertical="center"/>
    </xf>
    <xf numFmtId="0" fontId="44" fillId="2" borderId="4" xfId="4" applyFont="1" applyFill="1" applyBorder="1" applyAlignment="1">
      <alignment horizontal="center" vertical="center" wrapText="1"/>
    </xf>
    <xf numFmtId="0" fontId="44" fillId="2" borderId="5" xfId="4" applyFont="1" applyFill="1" applyBorder="1" applyAlignment="1">
      <alignment horizontal="center" vertical="center" wrapText="1"/>
    </xf>
    <xf numFmtId="0" fontId="44" fillId="2" borderId="6" xfId="4" applyFont="1" applyFill="1" applyBorder="1" applyAlignment="1">
      <alignment horizontal="center" vertical="center" wrapText="1"/>
    </xf>
    <xf numFmtId="0" fontId="44" fillId="2" borderId="1" xfId="4" applyFont="1" applyFill="1" applyBorder="1" applyAlignment="1">
      <alignment horizontal="center" vertical="center" wrapText="1"/>
    </xf>
    <xf numFmtId="0" fontId="19" fillId="0" borderId="1" xfId="4" applyFont="1" applyBorder="1" applyAlignment="1">
      <alignment horizontal="center" vertical="center" wrapText="1"/>
    </xf>
    <xf numFmtId="0" fontId="19" fillId="0" borderId="4" xfId="4" applyFont="1" applyBorder="1" applyAlignment="1">
      <alignment horizontal="center" vertical="center"/>
    </xf>
    <xf numFmtId="0" fontId="19" fillId="0" borderId="5" xfId="4" applyFont="1" applyBorder="1" applyAlignment="1">
      <alignment horizontal="center" vertical="center"/>
    </xf>
    <xf numFmtId="0" fontId="41" fillId="0" borderId="2" xfId="4" applyBorder="1" applyAlignment="1">
      <alignment horizontal="left" wrapText="1"/>
    </xf>
    <xf numFmtId="0" fontId="41" fillId="0" borderId="3" xfId="4" applyBorder="1" applyAlignment="1">
      <alignment horizontal="left" wrapText="1"/>
    </xf>
    <xf numFmtId="0" fontId="19" fillId="0" borderId="1" xfId="4" applyFont="1" applyBorder="1" applyAlignment="1">
      <alignment horizontal="center" vertical="center"/>
    </xf>
    <xf numFmtId="0" fontId="46" fillId="12" borderId="1" xfId="4" applyFont="1" applyFill="1" applyBorder="1" applyAlignment="1">
      <alignment horizontal="left" wrapText="1"/>
    </xf>
    <xf numFmtId="0" fontId="41" fillId="12" borderId="1" xfId="4" applyFill="1" applyBorder="1" applyAlignment="1">
      <alignment horizontal="left" wrapText="1"/>
    </xf>
    <xf numFmtId="0" fontId="41" fillId="0" borderId="1" xfId="4" applyBorder="1" applyAlignment="1">
      <alignment horizontal="left" wrapText="1"/>
    </xf>
    <xf numFmtId="0" fontId="41" fillId="0" borderId="1" xfId="4" applyBorder="1" applyAlignment="1">
      <alignment vertical="center"/>
    </xf>
    <xf numFmtId="0" fontId="41" fillId="0" borderId="2" xfId="4" applyBorder="1" applyAlignment="1">
      <alignment vertical="center"/>
    </xf>
    <xf numFmtId="0" fontId="41" fillId="0" borderId="3" xfId="4" applyBorder="1" applyAlignment="1">
      <alignment vertical="center"/>
    </xf>
    <xf numFmtId="0" fontId="41" fillId="0" borderId="2" xfId="4" applyBorder="1" applyAlignment="1">
      <alignment horizontal="left" vertical="center"/>
    </xf>
    <xf numFmtId="0" fontId="41" fillId="0" borderId="3" xfId="4" applyBorder="1" applyAlignment="1">
      <alignment horizontal="left" vertical="center"/>
    </xf>
    <xf numFmtId="0" fontId="41" fillId="0" borderId="7" xfId="4" applyBorder="1" applyAlignment="1">
      <alignment horizontal="left" wrapText="1"/>
    </xf>
    <xf numFmtId="0" fontId="51" fillId="4" borderId="2" xfId="4" applyFont="1" applyFill="1" applyBorder="1" applyAlignment="1">
      <alignment horizontal="center" vertical="center"/>
    </xf>
    <xf numFmtId="0" fontId="51" fillId="4" borderId="7" xfId="4" applyFont="1" applyFill="1" applyBorder="1" applyAlignment="1">
      <alignment horizontal="center" vertical="center"/>
    </xf>
    <xf numFmtId="0" fontId="51" fillId="4" borderId="3" xfId="4" applyFont="1" applyFill="1" applyBorder="1" applyAlignment="1">
      <alignment horizontal="center" vertical="center"/>
    </xf>
    <xf numFmtId="0" fontId="19" fillId="11" borderId="1" xfId="4" applyFont="1" applyFill="1" applyBorder="1" applyAlignment="1">
      <alignment horizontal="center" vertical="center"/>
    </xf>
    <xf numFmtId="0" fontId="49" fillId="11" borderId="22" xfId="4" applyFont="1" applyFill="1" applyBorder="1" applyAlignment="1">
      <alignment horizontal="center"/>
    </xf>
    <xf numFmtId="0" fontId="49" fillId="11" borderId="1" xfId="4" applyFont="1" applyFill="1" applyBorder="1" applyAlignment="1">
      <alignment horizontal="center"/>
    </xf>
    <xf numFmtId="0" fontId="49" fillId="11" borderId="8" xfId="4" applyFont="1" applyFill="1" applyBorder="1" applyAlignment="1">
      <alignment horizontal="center"/>
    </xf>
    <xf numFmtId="0" fontId="47" fillId="4" borderId="2" xfId="4" applyFont="1" applyFill="1" applyBorder="1" applyAlignment="1">
      <alignment horizontal="center" vertical="center"/>
    </xf>
    <xf numFmtId="0" fontId="47" fillId="4" borderId="7" xfId="4" applyFont="1" applyFill="1" applyBorder="1" applyAlignment="1">
      <alignment horizontal="center" vertical="center"/>
    </xf>
    <xf numFmtId="0" fontId="47" fillId="4" borderId="3" xfId="4" applyFont="1" applyFill="1" applyBorder="1" applyAlignment="1">
      <alignment horizontal="center" vertical="center"/>
    </xf>
    <xf numFmtId="0" fontId="45" fillId="11" borderId="1" xfId="4" applyFont="1" applyFill="1" applyBorder="1" applyAlignment="1">
      <alignment horizontal="center" vertical="center"/>
    </xf>
    <xf numFmtId="0" fontId="45" fillId="11" borderId="1" xfId="4" applyFont="1" applyFill="1" applyBorder="1" applyAlignment="1">
      <alignment horizontal="center"/>
    </xf>
    <xf numFmtId="0" fontId="19" fillId="11" borderId="18" xfId="4" applyFont="1" applyFill="1" applyBorder="1" applyAlignment="1">
      <alignment horizontal="center" vertical="center"/>
    </xf>
    <xf numFmtId="0" fontId="19" fillId="11" borderId="19" xfId="4" applyFont="1" applyFill="1" applyBorder="1" applyAlignment="1">
      <alignment horizontal="center" vertical="center"/>
    </xf>
    <xf numFmtId="0" fontId="19" fillId="11" borderId="20" xfId="4" applyFont="1" applyFill="1" applyBorder="1" applyAlignment="1">
      <alignment horizontal="center" vertical="center"/>
    </xf>
    <xf numFmtId="10" fontId="19" fillId="11" borderId="21" xfId="4" applyNumberFormat="1" applyFont="1" applyFill="1" applyBorder="1" applyAlignment="1">
      <alignment horizontal="center" vertical="center" wrapText="1"/>
    </xf>
    <xf numFmtId="10" fontId="19" fillId="11" borderId="0" xfId="4" applyNumberFormat="1" applyFont="1" applyFill="1" applyAlignment="1">
      <alignment horizontal="center" vertical="center" wrapText="1"/>
    </xf>
    <xf numFmtId="10" fontId="19" fillId="11" borderId="17" xfId="4" applyNumberFormat="1" applyFont="1" applyFill="1" applyBorder="1" applyAlignment="1">
      <alignment horizontal="center" vertical="center" wrapText="1"/>
    </xf>
    <xf numFmtId="0" fontId="2" fillId="5" borderId="2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7"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11" fillId="5" borderId="13" xfId="0" applyFont="1" applyFill="1" applyBorder="1" applyAlignment="1">
      <alignment horizontal="center" vertical="center"/>
    </xf>
    <xf numFmtId="0" fontId="11" fillId="5" borderId="0" xfId="0" applyFont="1" applyFill="1" applyAlignment="1">
      <alignment horizontal="center" vertical="center"/>
    </xf>
    <xf numFmtId="0" fontId="11" fillId="5" borderId="38" xfId="0" applyFont="1" applyFill="1" applyBorder="1" applyAlignment="1">
      <alignment horizontal="center" vertical="center"/>
    </xf>
    <xf numFmtId="0" fontId="11" fillId="5" borderId="15" xfId="0" applyFont="1" applyFill="1" applyBorder="1" applyAlignment="1">
      <alignment horizontal="center" vertical="center"/>
    </xf>
    <xf numFmtId="0" fontId="11" fillId="5" borderId="17" xfId="0" applyFont="1" applyFill="1" applyBorder="1" applyAlignment="1">
      <alignment horizontal="center" vertical="center"/>
    </xf>
    <xf numFmtId="0" fontId="11" fillId="5" borderId="37" xfId="0" applyFont="1" applyFill="1" applyBorder="1" applyAlignment="1">
      <alignment horizontal="center" vertical="center"/>
    </xf>
    <xf numFmtId="0" fontId="12" fillId="5" borderId="41" xfId="0" applyFont="1" applyFill="1" applyBorder="1" applyAlignment="1">
      <alignment horizontal="center"/>
    </xf>
    <xf numFmtId="0" fontId="12" fillId="5" borderId="40" xfId="0" applyFont="1" applyFill="1" applyBorder="1" applyAlignment="1">
      <alignment horizontal="center"/>
    </xf>
    <xf numFmtId="0" fontId="12" fillId="5" borderId="39" xfId="0" applyFont="1" applyFill="1" applyBorder="1" applyAlignment="1">
      <alignment horizontal="center"/>
    </xf>
    <xf numFmtId="0" fontId="8" fillId="4" borderId="23"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3" xfId="0" applyFont="1" applyFill="1" applyBorder="1" applyAlignment="1">
      <alignment horizontal="center" vertical="center"/>
    </xf>
    <xf numFmtId="0" fontId="8" fillId="5" borderId="8" xfId="0" applyFont="1" applyFill="1" applyBorder="1" applyAlignment="1">
      <alignment horizontal="center" vertical="center" wrapText="1"/>
    </xf>
    <xf numFmtId="0" fontId="10" fillId="5" borderId="9" xfId="0" applyFont="1" applyFill="1" applyBorder="1" applyAlignment="1">
      <alignment wrapText="1"/>
    </xf>
    <xf numFmtId="0" fontId="7" fillId="3" borderId="1" xfId="0" applyFont="1" applyFill="1" applyBorder="1" applyAlignment="1">
      <alignment horizontal="center" vertical="center" wrapText="1"/>
    </xf>
    <xf numFmtId="0" fontId="9" fillId="4" borderId="2"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3" xfId="0" applyFont="1" applyFill="1" applyBorder="1" applyAlignment="1">
      <alignment horizontal="center" vertical="center"/>
    </xf>
    <xf numFmtId="0" fontId="11" fillId="4" borderId="11"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42"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5" xfId="0" applyFont="1" applyFill="1" applyBorder="1" applyAlignment="1">
      <alignment horizontal="center" vertical="center" wrapText="1"/>
    </xf>
    <xf numFmtId="0" fontId="23" fillId="0" borderId="1" xfId="0" applyFont="1" applyBorder="1" applyAlignment="1">
      <alignment horizontal="center" vertical="center" wrapText="1"/>
    </xf>
    <xf numFmtId="0" fontId="29" fillId="0" borderId="1" xfId="0" applyFont="1" applyBorder="1" applyAlignment="1">
      <alignment horizontal="left" vertical="center" wrapText="1"/>
    </xf>
    <xf numFmtId="0" fontId="29" fillId="0" borderId="2" xfId="0" applyFont="1" applyBorder="1" applyAlignment="1">
      <alignment horizontal="left" vertical="center" wrapText="1"/>
    </xf>
    <xf numFmtId="0" fontId="23" fillId="0" borderId="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0" fillId="0" borderId="1" xfId="0" applyBorder="1" applyAlignment="1">
      <alignment horizontal="left" wrapText="1"/>
    </xf>
    <xf numFmtId="0" fontId="0" fillId="0" borderId="2" xfId="0" applyBorder="1" applyAlignment="1">
      <alignment horizontal="left" wrapText="1"/>
    </xf>
    <xf numFmtId="0" fontId="0" fillId="0" borderId="7" xfId="0" applyBorder="1" applyAlignment="1">
      <alignment horizontal="left" wrapText="1"/>
    </xf>
    <xf numFmtId="0" fontId="15" fillId="0" borderId="2" xfId="0" applyFont="1" applyBorder="1" applyAlignment="1">
      <alignment horizontal="left" vertical="center" wrapText="1"/>
    </xf>
    <xf numFmtId="0" fontId="15" fillId="0" borderId="7" xfId="0" applyFont="1" applyBorder="1" applyAlignment="1">
      <alignment horizontal="left" vertical="center" wrapText="1"/>
    </xf>
    <xf numFmtId="0" fontId="0" fillId="0" borderId="1" xfId="0" applyBorder="1" applyAlignment="1">
      <alignment vertical="center" wrapText="1"/>
    </xf>
    <xf numFmtId="0" fontId="0" fillId="0" borderId="2" xfId="0" applyBorder="1" applyAlignment="1">
      <alignment vertical="center" wrapText="1"/>
    </xf>
    <xf numFmtId="0" fontId="6" fillId="0" borderId="1" xfId="0" applyFont="1" applyBorder="1" applyAlignment="1">
      <alignment horizontal="center" vertical="center" wrapText="1"/>
    </xf>
    <xf numFmtId="0" fontId="0" fillId="0" borderId="1" xfId="0" applyBorder="1" applyAlignment="1">
      <alignment wrapText="1"/>
    </xf>
    <xf numFmtId="0" fontId="0" fillId="0" borderId="2" xfId="0" applyBorder="1" applyAlignment="1">
      <alignment wrapText="1"/>
    </xf>
    <xf numFmtId="0" fontId="0" fillId="0" borderId="1" xfId="0" applyBorder="1"/>
    <xf numFmtId="0" fontId="0" fillId="0" borderId="2" xfId="0" applyBorder="1"/>
    <xf numFmtId="0" fontId="0" fillId="0" borderId="1" xfId="0" applyBorder="1" applyAlignment="1">
      <alignment horizontal="left" vertical="center" wrapText="1"/>
    </xf>
    <xf numFmtId="0" fontId="0" fillId="0" borderId="2" xfId="0" applyBorder="1" applyAlignment="1">
      <alignment horizontal="left" vertical="center" wrapText="1"/>
    </xf>
    <xf numFmtId="0" fontId="24" fillId="0" borderId="1" xfId="0" applyFont="1" applyBorder="1" applyAlignment="1">
      <alignment horizontal="center" vertical="center" wrapText="1"/>
    </xf>
    <xf numFmtId="0" fontId="15" fillId="0" borderId="1" xfId="0" applyFont="1" applyBorder="1" applyAlignment="1">
      <alignment vertical="center" wrapText="1"/>
    </xf>
    <xf numFmtId="0" fontId="15" fillId="0" borderId="2" xfId="0" applyFont="1" applyBorder="1" applyAlignment="1">
      <alignment vertical="center" wrapText="1"/>
    </xf>
    <xf numFmtId="0" fontId="29" fillId="0" borderId="1" xfId="0" applyFont="1" applyBorder="1" applyAlignment="1">
      <alignment vertical="center" wrapText="1"/>
    </xf>
    <xf numFmtId="0" fontId="29" fillId="0" borderId="2" xfId="0" applyFont="1" applyBorder="1" applyAlignment="1">
      <alignment vertical="center" wrapText="1"/>
    </xf>
    <xf numFmtId="0" fontId="0" fillId="2" borderId="2" xfId="0" applyFill="1" applyBorder="1" applyAlignment="1">
      <alignment horizontal="left"/>
    </xf>
    <xf numFmtId="0" fontId="0" fillId="2" borderId="7" xfId="0" applyFill="1" applyBorder="1" applyAlignment="1">
      <alignment horizontal="left"/>
    </xf>
    <xf numFmtId="0" fontId="0" fillId="0" borderId="2" xfId="0" applyBorder="1" applyAlignment="1">
      <alignment horizontal="left"/>
    </xf>
    <xf numFmtId="0" fontId="0" fillId="0" borderId="7" xfId="0" applyBorder="1" applyAlignment="1">
      <alignment horizontal="left"/>
    </xf>
    <xf numFmtId="9" fontId="18" fillId="0" borderId="11" xfId="1" applyFont="1" applyFill="1" applyBorder="1" applyAlignment="1">
      <alignment horizontal="center"/>
    </xf>
    <xf numFmtId="9" fontId="18" fillId="0" borderId="21" xfId="1" applyFont="1" applyFill="1" applyBorder="1" applyAlignment="1">
      <alignment horizontal="center"/>
    </xf>
    <xf numFmtId="9" fontId="18" fillId="0" borderId="12" xfId="1" applyFont="1" applyFill="1" applyBorder="1" applyAlignment="1">
      <alignment horizontal="center"/>
    </xf>
    <xf numFmtId="0" fontId="11" fillId="6" borderId="21" xfId="0" applyFont="1" applyFill="1" applyBorder="1" applyAlignment="1">
      <alignment horizontal="center"/>
    </xf>
    <xf numFmtId="0" fontId="11" fillId="6" borderId="12" xfId="0" applyFont="1" applyFill="1" applyBorder="1" applyAlignment="1">
      <alignment horizontal="center"/>
    </xf>
    <xf numFmtId="0" fontId="11" fillId="6" borderId="0" xfId="0" applyFont="1" applyFill="1" applyAlignment="1">
      <alignment horizontal="center"/>
    </xf>
    <xf numFmtId="0" fontId="11" fillId="6" borderId="14" xfId="0" applyFont="1" applyFill="1" applyBorder="1" applyAlignment="1">
      <alignment horizontal="center"/>
    </xf>
    <xf numFmtId="0" fontId="23" fillId="2" borderId="4"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0" fillId="15" borderId="2" xfId="0" applyFill="1" applyBorder="1" applyAlignment="1">
      <alignment horizontal="left"/>
    </xf>
    <xf numFmtId="0" fontId="0" fillId="15" borderId="7" xfId="0" applyFill="1" applyBorder="1" applyAlignment="1">
      <alignment horizontal="left"/>
    </xf>
    <xf numFmtId="0" fontId="0" fillId="15" borderId="1" xfId="0" applyFill="1" applyBorder="1" applyAlignment="1">
      <alignment horizontal="left" vertical="center" wrapText="1"/>
    </xf>
    <xf numFmtId="0" fontId="15" fillId="0" borderId="1" xfId="0" applyFont="1" applyBorder="1" applyAlignment="1">
      <alignment horizontal="left" vertical="center" wrapText="1"/>
    </xf>
    <xf numFmtId="0" fontId="11" fillId="6" borderId="1" xfId="0" applyFont="1" applyFill="1" applyBorder="1" applyAlignment="1">
      <alignment vertical="center"/>
    </xf>
    <xf numFmtId="0" fontId="7" fillId="3" borderId="0" xfId="0" applyFont="1" applyFill="1" applyAlignment="1">
      <alignment horizontal="center" vertical="center" wrapText="1"/>
    </xf>
    <xf numFmtId="0" fontId="11" fillId="5" borderId="1" xfId="0" applyFont="1" applyFill="1" applyBorder="1" applyAlignment="1">
      <alignment horizontal="center" vertical="center"/>
    </xf>
    <xf numFmtId="0" fontId="12" fillId="0" borderId="1" xfId="0" applyFont="1" applyBorder="1" applyAlignment="1">
      <alignment horizontal="center" vertical="center" wrapText="1"/>
    </xf>
    <xf numFmtId="0" fontId="25" fillId="0" borderId="1" xfId="0" applyFont="1" applyBorder="1" applyAlignment="1">
      <alignment horizontal="left" vertical="center" wrapText="1"/>
    </xf>
    <xf numFmtId="0" fontId="58" fillId="11" borderId="18" xfId="0" applyFont="1" applyFill="1" applyBorder="1" applyAlignment="1">
      <alignment horizontal="center" vertical="center" wrapText="1"/>
    </xf>
    <xf numFmtId="0" fontId="58" fillId="11" borderId="19" xfId="0" applyFont="1" applyFill="1" applyBorder="1" applyAlignment="1">
      <alignment horizontal="center" vertical="center" wrapText="1"/>
    </xf>
    <xf numFmtId="0" fontId="58" fillId="11" borderId="20" xfId="0" applyFont="1" applyFill="1" applyBorder="1" applyAlignment="1">
      <alignment horizontal="center" vertical="center" wrapText="1"/>
    </xf>
    <xf numFmtId="10" fontId="58" fillId="11" borderId="21" xfId="0" applyNumberFormat="1" applyFont="1" applyFill="1" applyBorder="1" applyAlignment="1">
      <alignment horizontal="center" vertical="center" wrapText="1"/>
    </xf>
    <xf numFmtId="10" fontId="58" fillId="11" borderId="0" xfId="0" applyNumberFormat="1" applyFont="1" applyFill="1" applyAlignment="1">
      <alignment horizontal="center" vertical="center" wrapText="1"/>
    </xf>
    <xf numFmtId="10" fontId="58" fillId="11" borderId="17" xfId="0" applyNumberFormat="1" applyFont="1" applyFill="1" applyBorder="1" applyAlignment="1">
      <alignment horizontal="center" vertical="center" wrapText="1"/>
    </xf>
    <xf numFmtId="0" fontId="22" fillId="5" borderId="9" xfId="0" applyFont="1" applyFill="1" applyBorder="1" applyAlignment="1">
      <alignment horizontal="center" vertical="center"/>
    </xf>
    <xf numFmtId="0" fontId="22" fillId="5" borderId="10" xfId="0" applyFont="1" applyFill="1" applyBorder="1" applyAlignment="1">
      <alignment horizontal="center" vertical="center"/>
    </xf>
    <xf numFmtId="0" fontId="11" fillId="4" borderId="1" xfId="0" applyFont="1" applyFill="1" applyBorder="1" applyAlignment="1">
      <alignment horizontal="center" vertical="center"/>
    </xf>
    <xf numFmtId="0" fontId="11" fillId="6" borderId="11" xfId="0" applyFont="1" applyFill="1" applyBorder="1" applyAlignment="1">
      <alignment horizontal="center"/>
    </xf>
    <xf numFmtId="0" fontId="11" fillId="6" borderId="13" xfId="0" applyFont="1" applyFill="1" applyBorder="1" applyAlignment="1">
      <alignment horizontal="center"/>
    </xf>
    <xf numFmtId="0" fontId="11" fillId="13" borderId="4" xfId="0" applyFont="1" applyFill="1" applyBorder="1" applyAlignment="1">
      <alignment horizontal="center" vertical="center" wrapText="1"/>
    </xf>
    <xf numFmtId="0" fontId="11" fillId="13" borderId="5" xfId="0" applyFont="1" applyFill="1" applyBorder="1" applyAlignment="1">
      <alignment horizontal="center" vertical="center" wrapText="1"/>
    </xf>
    <xf numFmtId="0" fontId="11" fillId="13" borderId="6"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2" fillId="5" borderId="2" xfId="0" applyFont="1" applyFill="1" applyBorder="1" applyAlignment="1">
      <alignment horizontal="center"/>
    </xf>
    <xf numFmtId="0" fontId="12" fillId="5" borderId="7" xfId="0" applyFont="1" applyFill="1" applyBorder="1" applyAlignment="1">
      <alignment horizontal="center"/>
    </xf>
    <xf numFmtId="0" fontId="12" fillId="5" borderId="3" xfId="0" applyFont="1" applyFill="1" applyBorder="1" applyAlignment="1">
      <alignment horizontal="center"/>
    </xf>
    <xf numFmtId="0" fontId="11" fillId="13" borderId="1" xfId="0" applyFont="1" applyFill="1" applyBorder="1" applyAlignment="1">
      <alignment horizontal="center" vertical="center"/>
    </xf>
    <xf numFmtId="0" fontId="8" fillId="4" borderId="1"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6" xfId="0" applyFont="1" applyFill="1" applyBorder="1" applyAlignment="1">
      <alignment horizontal="center" vertical="center"/>
    </xf>
    <xf numFmtId="0" fontId="12" fillId="5" borderId="23" xfId="0" applyFont="1" applyFill="1" applyBorder="1" applyAlignment="1">
      <alignment horizontal="center"/>
    </xf>
    <xf numFmtId="0" fontId="12" fillId="5" borderId="24" xfId="0" applyFont="1" applyFill="1" applyBorder="1" applyAlignment="1">
      <alignment horizontal="center"/>
    </xf>
    <xf numFmtId="0" fontId="34" fillId="14" borderId="1" xfId="0" applyFont="1" applyFill="1" applyBorder="1" applyAlignment="1">
      <alignment horizontal="center"/>
    </xf>
    <xf numFmtId="0" fontId="39" fillId="0" borderId="27" xfId="0" applyFont="1" applyBorder="1" applyAlignment="1" applyProtection="1">
      <alignment horizontal="center" vertical="center" wrapText="1"/>
      <protection hidden="1"/>
    </xf>
    <xf numFmtId="0" fontId="39" fillId="0" borderId="25" xfId="0" applyFont="1" applyBorder="1" applyAlignment="1" applyProtection="1">
      <alignment horizontal="center" vertical="center" wrapText="1"/>
      <protection hidden="1"/>
    </xf>
    <xf numFmtId="0" fontId="39" fillId="0" borderId="28" xfId="0" applyFont="1" applyBorder="1" applyAlignment="1" applyProtection="1">
      <alignment horizontal="center" vertical="center" wrapText="1"/>
      <protection hidden="1"/>
    </xf>
    <xf numFmtId="0" fontId="39" fillId="0" borderId="32" xfId="0" applyFont="1" applyBorder="1" applyAlignment="1" applyProtection="1">
      <alignment horizontal="center" vertical="center" wrapText="1"/>
      <protection hidden="1"/>
    </xf>
    <xf numFmtId="0" fontId="39" fillId="0" borderId="22" xfId="0" applyFont="1" applyBorder="1" applyAlignment="1" applyProtection="1">
      <alignment horizontal="center" vertical="center" wrapText="1"/>
      <protection hidden="1"/>
    </xf>
    <xf numFmtId="0" fontId="39" fillId="0" borderId="30" xfId="0" applyFont="1" applyBorder="1" applyAlignment="1" applyProtection="1">
      <alignment horizontal="center" vertical="center" wrapText="1"/>
      <protection hidden="1"/>
    </xf>
    <xf numFmtId="0" fontId="11" fillId="6" borderId="1" xfId="0" applyFont="1" applyFill="1" applyBorder="1" applyAlignment="1">
      <alignment horizontal="center"/>
    </xf>
    <xf numFmtId="9" fontId="18" fillId="0" borderId="1" xfId="1" applyFont="1" applyFill="1" applyBorder="1" applyAlignment="1">
      <alignment horizontal="center"/>
    </xf>
    <xf numFmtId="0" fontId="39" fillId="0" borderId="31" xfId="0" applyFont="1" applyBorder="1" applyAlignment="1" applyProtection="1">
      <alignment horizontal="center" vertical="center" wrapText="1"/>
      <protection hidden="1"/>
    </xf>
    <xf numFmtId="0" fontId="36" fillId="0" borderId="27" xfId="0" applyFont="1" applyBorder="1" applyAlignment="1" applyProtection="1">
      <alignment horizontal="center" vertical="center" wrapText="1"/>
      <protection hidden="1"/>
    </xf>
    <xf numFmtId="0" fontId="36" fillId="0" borderId="25" xfId="0" applyFont="1" applyBorder="1" applyAlignment="1" applyProtection="1">
      <alignment horizontal="center" vertical="center" wrapText="1"/>
      <protection hidden="1"/>
    </xf>
    <xf numFmtId="9" fontId="18" fillId="0" borderId="2" xfId="1" applyFont="1" applyFill="1" applyBorder="1" applyAlignment="1">
      <alignment horizontal="center"/>
    </xf>
    <xf numFmtId="9" fontId="18" fillId="0" borderId="7" xfId="1" applyFont="1" applyFill="1" applyBorder="1" applyAlignment="1">
      <alignment horizontal="center"/>
    </xf>
    <xf numFmtId="9" fontId="18" fillId="0" borderId="3" xfId="1" applyFont="1" applyFill="1" applyBorder="1" applyAlignment="1">
      <alignment horizont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9" fontId="0" fillId="0" borderId="21" xfId="1" applyFont="1" applyBorder="1" applyAlignment="1">
      <alignment horizontal="center"/>
    </xf>
    <xf numFmtId="0" fontId="11" fillId="6" borderId="15" xfId="0" applyFont="1" applyFill="1" applyBorder="1" applyAlignment="1">
      <alignment horizontal="center"/>
    </xf>
    <xf numFmtId="0" fontId="11" fillId="6" borderId="16" xfId="0" applyFont="1" applyFill="1" applyBorder="1" applyAlignment="1">
      <alignment horizontal="center"/>
    </xf>
    <xf numFmtId="0" fontId="11" fillId="0" borderId="4" xfId="0" applyFont="1" applyBorder="1" applyAlignment="1">
      <alignment horizontal="center" vertical="center" wrapText="1"/>
    </xf>
    <xf numFmtId="0" fontId="11" fillId="13" borderId="11" xfId="0" applyFont="1" applyFill="1" applyBorder="1" applyAlignment="1">
      <alignment horizontal="center" vertical="center"/>
    </xf>
    <xf numFmtId="0" fontId="11" fillId="13" borderId="12" xfId="0" applyFont="1" applyFill="1" applyBorder="1" applyAlignment="1">
      <alignment horizontal="center" vertical="center"/>
    </xf>
    <xf numFmtId="0" fontId="11" fillId="13" borderId="13" xfId="0" applyFont="1" applyFill="1" applyBorder="1" applyAlignment="1">
      <alignment horizontal="center" vertical="center"/>
    </xf>
    <xf numFmtId="0" fontId="11" fillId="13" borderId="14" xfId="0" applyFont="1" applyFill="1" applyBorder="1" applyAlignment="1">
      <alignment horizontal="center" vertical="center"/>
    </xf>
    <xf numFmtId="0" fontId="11" fillId="13" borderId="15" xfId="0" applyFont="1" applyFill="1" applyBorder="1" applyAlignment="1">
      <alignment horizontal="center" vertical="center"/>
    </xf>
    <xf numFmtId="0" fontId="11" fillId="13" borderId="16" xfId="0" applyFont="1" applyFill="1" applyBorder="1" applyAlignment="1">
      <alignment horizontal="center" vertical="center"/>
    </xf>
    <xf numFmtId="0" fontId="11" fillId="6" borderId="17" xfId="0" applyFont="1" applyFill="1" applyBorder="1" applyAlignment="1">
      <alignment horizontal="center"/>
    </xf>
    <xf numFmtId="0" fontId="11" fillId="5" borderId="12" xfId="0" applyFont="1" applyFill="1" applyBorder="1" applyAlignment="1">
      <alignment horizontal="center" vertical="center" wrapText="1"/>
    </xf>
    <xf numFmtId="0" fontId="11" fillId="5" borderId="14" xfId="0" applyFont="1" applyFill="1" applyBorder="1" applyAlignment="1">
      <alignment horizontal="center" vertical="center" wrapText="1"/>
    </xf>
    <xf numFmtId="0" fontId="11" fillId="5" borderId="16" xfId="0" applyFont="1" applyFill="1" applyBorder="1" applyAlignment="1">
      <alignment horizontal="center" vertical="center" wrapText="1"/>
    </xf>
    <xf numFmtId="0" fontId="11" fillId="5" borderId="11" xfId="0" applyFont="1" applyFill="1" applyBorder="1" applyAlignment="1">
      <alignment vertical="center" wrapText="1"/>
    </xf>
    <xf numFmtId="0" fontId="11" fillId="5" borderId="13" xfId="0" applyFont="1" applyFill="1" applyBorder="1" applyAlignment="1">
      <alignment vertical="center" wrapText="1"/>
    </xf>
    <xf numFmtId="0" fontId="11" fillId="5" borderId="15" xfId="0" applyFont="1" applyFill="1" applyBorder="1" applyAlignment="1">
      <alignment vertical="center" wrapText="1"/>
    </xf>
    <xf numFmtId="0" fontId="0" fillId="2" borderId="1" xfId="0" applyFill="1" applyBorder="1" applyAlignment="1">
      <alignment horizontal="left" vertical="center" wrapText="1"/>
    </xf>
    <xf numFmtId="0" fontId="0" fillId="2" borderId="2" xfId="0" applyFill="1" applyBorder="1" applyAlignment="1">
      <alignment horizontal="left" vertical="center" wrapText="1"/>
    </xf>
    <xf numFmtId="0" fontId="15" fillId="0" borderId="3" xfId="0" applyFont="1" applyBorder="1" applyAlignment="1">
      <alignment horizontal="lef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4" fillId="0" borderId="4"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15" fillId="0" borderId="3" xfId="0" applyFont="1" applyBorder="1" applyAlignment="1">
      <alignment vertical="center" wrapText="1"/>
    </xf>
    <xf numFmtId="0" fontId="12" fillId="0" borderId="4" xfId="0" applyFont="1" applyBorder="1" applyAlignment="1">
      <alignment horizontal="center" vertical="center" wrapText="1"/>
    </xf>
    <xf numFmtId="0" fontId="12" fillId="0" borderId="6" xfId="0" applyFont="1" applyBorder="1" applyAlignment="1">
      <alignment horizontal="center" vertical="center" wrapText="1"/>
    </xf>
    <xf numFmtId="0" fontId="26" fillId="0" borderId="4" xfId="0" applyFont="1" applyBorder="1" applyAlignment="1">
      <alignment horizontal="center" vertical="center" wrapText="1"/>
    </xf>
    <xf numFmtId="0" fontId="26" fillId="0" borderId="6" xfId="0" applyFont="1" applyBorder="1" applyAlignment="1">
      <alignment horizontal="center"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12" borderId="2" xfId="0" applyFont="1" applyFill="1" applyBorder="1" applyAlignment="1">
      <alignment vertical="center" wrapText="1"/>
    </xf>
    <xf numFmtId="0" fontId="25" fillId="12" borderId="3" xfId="0" applyFont="1" applyFill="1" applyBorder="1" applyAlignment="1">
      <alignment vertical="center" wrapText="1"/>
    </xf>
    <xf numFmtId="0" fontId="15" fillId="12" borderId="2" xfId="0" applyFont="1" applyFill="1" applyBorder="1" applyAlignment="1">
      <alignment vertical="center" wrapText="1"/>
    </xf>
    <xf numFmtId="0" fontId="15" fillId="12" borderId="3" xfId="0" applyFont="1" applyFill="1" applyBorder="1" applyAlignment="1">
      <alignment vertical="center" wrapText="1"/>
    </xf>
    <xf numFmtId="0" fontId="26" fillId="0" borderId="11"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1" xfId="0" applyFont="1" applyBorder="1" applyAlignment="1">
      <alignment horizontal="center" vertical="center" wrapText="1"/>
    </xf>
    <xf numFmtId="0" fontId="15" fillId="12" borderId="2" xfId="0" applyFont="1" applyFill="1" applyBorder="1" applyAlignment="1">
      <alignment horizontal="left" vertical="center" wrapText="1"/>
    </xf>
    <xf numFmtId="0" fontId="15" fillId="12" borderId="3" xfId="0" applyFont="1" applyFill="1" applyBorder="1" applyAlignment="1">
      <alignment horizontal="left" vertical="center" wrapText="1"/>
    </xf>
    <xf numFmtId="0" fontId="11" fillId="4" borderId="11" xfId="0" applyFont="1" applyFill="1" applyBorder="1" applyAlignment="1">
      <alignment horizontal="center" vertical="center"/>
    </xf>
    <xf numFmtId="0" fontId="11" fillId="4" borderId="21" xfId="0" applyFont="1" applyFill="1" applyBorder="1" applyAlignment="1">
      <alignment horizontal="center" vertical="center"/>
    </xf>
    <xf numFmtId="0" fontId="11" fillId="4" borderId="12"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7" xfId="0" applyFont="1" applyFill="1" applyBorder="1" applyAlignment="1">
      <alignment horizontal="center" vertical="center"/>
    </xf>
    <xf numFmtId="0" fontId="11" fillId="4" borderId="1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3" xfId="0" applyFont="1" applyFill="1" applyBorder="1" applyAlignment="1">
      <alignment horizontal="center" vertical="center"/>
    </xf>
    <xf numFmtId="0" fontId="11" fillId="5" borderId="21" xfId="0" applyFont="1" applyFill="1" applyBorder="1" applyAlignment="1">
      <alignment horizontal="center" vertical="center"/>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23" fillId="0" borderId="2" xfId="0" applyFont="1" applyBorder="1" applyAlignment="1">
      <alignment horizontal="center" vertical="center" wrapText="1"/>
    </xf>
    <xf numFmtId="0" fontId="12" fillId="5" borderId="2" xfId="0" applyFont="1" applyFill="1" applyBorder="1" applyAlignment="1">
      <alignment horizontal="center" vertical="center"/>
    </xf>
  </cellXfs>
  <cellStyles count="5">
    <cellStyle name="Normal" xfId="0" builtinId="0"/>
    <cellStyle name="Normal 2" xfId="4" xr:uid="{8FB2B4E8-19DA-41D5-A1DD-D06319607D78}"/>
    <cellStyle name="Normal 5" xfId="2" xr:uid="{0779BF19-C912-4199-A502-9149571F4FFB}"/>
    <cellStyle name="Porcentaje" xfId="1" builtinId="5"/>
    <cellStyle name="Porcentaje 2" xfId="3" xr:uid="{AAA0E34F-E7C3-4959-A36E-530E961532D1}"/>
  </cellStyles>
  <dxfs count="30">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
      <fill>
        <patternFill>
          <bgColor theme="9"/>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0</xdr:rowOff>
    </xdr:from>
    <xdr:ext cx="2009775" cy="576263"/>
    <xdr:sp macro="" textlink="">
      <xdr:nvSpPr>
        <xdr:cNvPr id="2" name="AutoShape 88" descr="data:image/png;base64,iVBORw0KGgoAAAANSUhEUgAAAAEAAAA7CAYAAAC69OBCAAAAAXNSR0IArs4c6QAAAA5JREFUKFNjYBgFRIQAAAEnAAGXlJdjAAAAAElFTkSuQmCC">
          <a:extLst>
            <a:ext uri="{FF2B5EF4-FFF2-40B4-BE49-F238E27FC236}">
              <a16:creationId xmlns:a16="http://schemas.microsoft.com/office/drawing/2014/main" id="{D49E5CEE-BD7B-4A65-9CDE-EDBA13CFF842}"/>
            </a:ext>
          </a:extLst>
        </xdr:cNvPr>
        <xdr:cNvSpPr>
          <a:spLocks noChangeAspect="1" noChangeArrowheads="1"/>
        </xdr:cNvSpPr>
      </xdr:nvSpPr>
      <xdr:spPr bwMode="auto">
        <a:xfrm>
          <a:off x="0" y="2377440"/>
          <a:ext cx="2009775" cy="576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13</xdr:row>
      <xdr:rowOff>0</xdr:rowOff>
    </xdr:from>
    <xdr:ext cx="2009775" cy="576263"/>
    <xdr:sp macro="" textlink="">
      <xdr:nvSpPr>
        <xdr:cNvPr id="2" name="AutoShape 88" descr="data:image/png;base64,iVBORw0KGgoAAAANSUhEUgAAAAEAAAA7CAYAAAC69OBCAAAAAXNSR0IArs4c6QAAAA5JREFUKFNjYBgFRIQAAAEnAAGXlJdjAAAAAElFTkSuQmCC">
          <a:extLst>
            <a:ext uri="{FF2B5EF4-FFF2-40B4-BE49-F238E27FC236}">
              <a16:creationId xmlns:a16="http://schemas.microsoft.com/office/drawing/2014/main" id="{36BA6117-9B51-4558-B018-D3611AFA5BF0}"/>
            </a:ext>
          </a:extLst>
        </xdr:cNvPr>
        <xdr:cNvSpPr>
          <a:spLocks noChangeAspect="1" noChangeArrowheads="1"/>
        </xdr:cNvSpPr>
      </xdr:nvSpPr>
      <xdr:spPr bwMode="auto">
        <a:xfrm>
          <a:off x="0" y="2377440"/>
          <a:ext cx="2009775" cy="5762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13</xdr:row>
      <xdr:rowOff>0</xdr:rowOff>
    </xdr:from>
    <xdr:ext cx="2009775" cy="900113"/>
    <xdr:sp macro="" textlink="">
      <xdr:nvSpPr>
        <xdr:cNvPr id="2" name="AutoShape 88" descr="data:image/png;base64,iVBORw0KGgoAAAANSUhEUgAAAAEAAAA7CAYAAAC69OBCAAAAAXNSR0IArs4c6QAAAA5JREFUKFNjYBgFRIQAAAEnAAGXlJdjAAAAAElFTkSuQmCC">
          <a:extLst>
            <a:ext uri="{FF2B5EF4-FFF2-40B4-BE49-F238E27FC236}">
              <a16:creationId xmlns:a16="http://schemas.microsoft.com/office/drawing/2014/main" id="{B535AA0F-8CD7-4128-8E79-4B470438A3A5}"/>
            </a:ext>
          </a:extLst>
        </xdr:cNvPr>
        <xdr:cNvSpPr>
          <a:spLocks noChangeAspect="1" noChangeArrowheads="1"/>
        </xdr:cNvSpPr>
      </xdr:nvSpPr>
      <xdr:spPr bwMode="auto">
        <a:xfrm>
          <a:off x="0" y="2377440"/>
          <a:ext cx="2009775" cy="9001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9A01E-A82F-47B3-9122-04F0370CB33F}">
  <dimension ref="A1:H61"/>
  <sheetViews>
    <sheetView topLeftCell="B34" zoomScale="82" zoomScaleNormal="82" workbookViewId="0">
      <selection activeCell="E54" sqref="E54"/>
    </sheetView>
  </sheetViews>
  <sheetFormatPr baseColWidth="10" defaultColWidth="11.5" defaultRowHeight="14.25"/>
  <cols>
    <col min="1" max="1" width="37" style="33" customWidth="1"/>
    <col min="2" max="2" width="108.5" style="34" customWidth="1"/>
    <col min="3" max="3" width="20.5" style="34" customWidth="1"/>
    <col min="4" max="4" width="20.375" style="34" customWidth="1"/>
    <col min="5" max="5" width="18.5" style="33" customWidth="1"/>
    <col min="6" max="6" width="20.875" style="33" customWidth="1"/>
    <col min="7" max="7" width="16.375" style="34" customWidth="1"/>
    <col min="8" max="8" width="23.5" style="34" customWidth="1"/>
    <col min="9" max="16384" width="11.5" style="34"/>
  </cols>
  <sheetData>
    <row r="1" spans="1:8">
      <c r="B1"/>
      <c r="C1"/>
      <c r="D1"/>
      <c r="E1" s="621"/>
      <c r="F1" s="621"/>
      <c r="G1" s="621"/>
    </row>
    <row r="2" spans="1:8">
      <c r="B2"/>
      <c r="C2"/>
      <c r="D2"/>
      <c r="E2" s="35"/>
      <c r="F2" s="35"/>
      <c r="G2" s="35"/>
    </row>
    <row r="3" spans="1:8">
      <c r="B3" s="568" t="s">
        <v>26</v>
      </c>
      <c r="C3" s="568"/>
      <c r="D3" s="568"/>
      <c r="E3" s="568"/>
      <c r="F3" s="568"/>
      <c r="G3" s="568"/>
    </row>
    <row r="4" spans="1:8">
      <c r="B4" s="568"/>
      <c r="C4" s="568"/>
      <c r="D4" s="568"/>
      <c r="E4" s="568"/>
      <c r="F4" s="568"/>
      <c r="G4" s="568"/>
    </row>
    <row r="5" spans="1:8" customFormat="1">
      <c r="A5" s="1"/>
      <c r="E5" s="1"/>
    </row>
    <row r="6" spans="1:8" customFormat="1">
      <c r="A6" s="1"/>
      <c r="E6" s="1"/>
    </row>
    <row r="7" spans="1:8" customFormat="1" ht="30.75" customHeight="1">
      <c r="A7" s="2" t="s">
        <v>1</v>
      </c>
      <c r="B7" s="3"/>
      <c r="C7" s="28"/>
      <c r="D7" s="28"/>
      <c r="E7" s="569" t="s">
        <v>2</v>
      </c>
      <c r="F7" s="570"/>
      <c r="G7" s="571"/>
    </row>
    <row r="8" spans="1:8" customFormat="1" ht="30.75" customHeight="1">
      <c r="A8" s="2" t="s">
        <v>3</v>
      </c>
      <c r="B8" s="4"/>
      <c r="C8" s="4"/>
      <c r="D8" s="4"/>
      <c r="E8" s="5" t="s">
        <v>4</v>
      </c>
      <c r="F8" s="5" t="s">
        <v>5</v>
      </c>
      <c r="G8" s="5" t="s">
        <v>6</v>
      </c>
    </row>
    <row r="9" spans="1:8" customFormat="1" ht="30.75" customHeight="1">
      <c r="A9" s="2" t="s">
        <v>7</v>
      </c>
      <c r="B9" s="3"/>
      <c r="C9" s="3"/>
      <c r="D9" s="3"/>
      <c r="E9" s="6">
        <v>1</v>
      </c>
      <c r="F9" s="117">
        <v>0</v>
      </c>
      <c r="G9" s="5">
        <v>1</v>
      </c>
    </row>
    <row r="10" spans="1:8" customFormat="1">
      <c r="A10" s="1"/>
      <c r="E10" s="1"/>
      <c r="F10" s="153"/>
      <c r="G10" s="14"/>
      <c r="H10" s="13"/>
    </row>
    <row r="13" spans="1:8" ht="20.25">
      <c r="A13" s="650" t="s">
        <v>223</v>
      </c>
      <c r="B13" s="650"/>
      <c r="C13" s="152"/>
      <c r="D13" s="152"/>
      <c r="E13" s="648" t="s">
        <v>222</v>
      </c>
      <c r="F13" s="642"/>
      <c r="G13" s="642"/>
      <c r="H13" s="649"/>
    </row>
    <row r="14" spans="1:8" ht="30" customHeight="1">
      <c r="A14" s="674" t="s">
        <v>8</v>
      </c>
      <c r="B14" s="675"/>
      <c r="C14" s="636" t="s">
        <v>24</v>
      </c>
      <c r="D14" s="636" t="s">
        <v>25</v>
      </c>
      <c r="E14" s="151"/>
      <c r="F14" s="9"/>
      <c r="G14" s="10"/>
      <c r="H14" s="10"/>
    </row>
    <row r="15" spans="1:8" ht="12" customHeight="1">
      <c r="A15" s="676"/>
      <c r="B15" s="677"/>
      <c r="C15" s="637"/>
      <c r="D15" s="637"/>
      <c r="E15" s="645" t="s">
        <v>2</v>
      </c>
      <c r="F15" s="645"/>
      <c r="G15" s="645"/>
      <c r="H15" s="8" t="s">
        <v>0</v>
      </c>
    </row>
    <row r="16" spans="1:8" ht="21.75" hidden="1" customHeight="1">
      <c r="A16" s="676"/>
      <c r="B16" s="677"/>
      <c r="C16" s="637"/>
      <c r="D16" s="637"/>
      <c r="E16" s="8" t="s">
        <v>13</v>
      </c>
      <c r="F16" s="8" t="s">
        <v>5</v>
      </c>
      <c r="G16" s="8" t="s">
        <v>6</v>
      </c>
      <c r="H16" s="150"/>
    </row>
    <row r="17" spans="1:8" ht="21.75" customHeight="1">
      <c r="A17" s="678"/>
      <c r="B17" s="679"/>
      <c r="C17" s="638"/>
      <c r="D17" s="638"/>
      <c r="E17" s="5" t="s">
        <v>4</v>
      </c>
      <c r="F17" s="5" t="s">
        <v>5</v>
      </c>
      <c r="G17" s="5" t="s">
        <v>6</v>
      </c>
      <c r="H17" s="150"/>
    </row>
    <row r="18" spans="1:8" ht="24.75" customHeight="1">
      <c r="A18" s="673" t="s">
        <v>221</v>
      </c>
      <c r="B18" s="148" t="s">
        <v>220</v>
      </c>
      <c r="C18" s="149">
        <v>0.05</v>
      </c>
      <c r="D18" s="30">
        <f t="shared" ref="D18:D53" si="0">IF(COUNTA(E18:G18)&gt;1, "PORFAVOR MARQUE UNA SOLA OPCION", IF(OR(E18&lt;&gt;"", G18&lt;&gt;""), C18, IF(F18&lt;&gt;"", 0, 0)))</f>
        <v>0</v>
      </c>
      <c r="E18" s="129"/>
      <c r="F18" s="128"/>
      <c r="G18" s="127"/>
      <c r="H18" s="126"/>
    </row>
    <row r="19" spans="1:8" ht="27" customHeight="1">
      <c r="A19" s="669"/>
      <c r="B19" s="148" t="s">
        <v>219</v>
      </c>
      <c r="C19" s="147">
        <v>0.05</v>
      </c>
      <c r="D19" s="30">
        <f t="shared" si="0"/>
        <v>0</v>
      </c>
      <c r="E19" s="129"/>
      <c r="F19" s="128"/>
      <c r="G19" s="127"/>
      <c r="H19" s="126"/>
    </row>
    <row r="20" spans="1:8" ht="21.75" customHeight="1">
      <c r="A20" s="578" t="s">
        <v>218</v>
      </c>
      <c r="B20" s="144" t="s">
        <v>217</v>
      </c>
      <c r="C20" s="143">
        <v>1.2500000000000001E-2</v>
      </c>
      <c r="D20" s="30">
        <f t="shared" si="0"/>
        <v>0</v>
      </c>
      <c r="E20" s="146"/>
      <c r="F20" s="128"/>
      <c r="G20" s="127"/>
      <c r="H20" s="126"/>
    </row>
    <row r="21" spans="1:8" ht="36.75" customHeight="1">
      <c r="A21" s="578"/>
      <c r="B21" s="144" t="s">
        <v>216</v>
      </c>
      <c r="C21" s="143">
        <v>1.2500000000000001E-2</v>
      </c>
      <c r="D21" s="30">
        <f t="shared" si="0"/>
        <v>0</v>
      </c>
      <c r="E21" s="128"/>
      <c r="F21" s="128"/>
      <c r="G21" s="127"/>
      <c r="H21" s="126"/>
    </row>
    <row r="22" spans="1:8" ht="21.75" customHeight="1">
      <c r="A22" s="578"/>
      <c r="B22" s="145" t="s">
        <v>215</v>
      </c>
      <c r="C22" s="143">
        <v>1.2500000000000001E-2</v>
      </c>
      <c r="D22" s="30">
        <f t="shared" si="0"/>
        <v>0</v>
      </c>
      <c r="E22" s="129"/>
      <c r="F22" s="128"/>
      <c r="G22" s="127"/>
      <c r="H22" s="126"/>
    </row>
    <row r="23" spans="1:8" ht="21.75" customHeight="1">
      <c r="A23" s="578"/>
      <c r="B23" s="145" t="s">
        <v>214</v>
      </c>
      <c r="C23" s="143">
        <v>1.2500000000000001E-2</v>
      </c>
      <c r="D23" s="30">
        <f t="shared" si="0"/>
        <v>0</v>
      </c>
      <c r="E23" s="129"/>
      <c r="F23" s="128"/>
      <c r="G23" s="127"/>
      <c r="H23" s="126"/>
    </row>
    <row r="24" spans="1:8" ht="21.75" customHeight="1">
      <c r="A24" s="578"/>
      <c r="B24" s="144" t="s">
        <v>213</v>
      </c>
      <c r="C24" s="143">
        <v>1.2500000000000001E-2</v>
      </c>
      <c r="D24" s="30">
        <f t="shared" si="0"/>
        <v>0</v>
      </c>
      <c r="E24" s="129"/>
      <c r="F24" s="128"/>
      <c r="G24" s="127"/>
      <c r="H24" s="126"/>
    </row>
    <row r="25" spans="1:8" ht="21.75" customHeight="1">
      <c r="A25" s="578"/>
      <c r="B25" s="144" t="s">
        <v>212</v>
      </c>
      <c r="C25" s="143">
        <v>1.2500000000000001E-2</v>
      </c>
      <c r="D25" s="30">
        <f t="shared" si="0"/>
        <v>0</v>
      </c>
      <c r="E25" s="129"/>
      <c r="F25" s="128"/>
      <c r="G25" s="127"/>
      <c r="H25" s="126"/>
    </row>
    <row r="26" spans="1:8" ht="21.75" customHeight="1">
      <c r="A26" s="578"/>
      <c r="B26" s="144" t="s">
        <v>211</v>
      </c>
      <c r="C26" s="143">
        <v>1.2500000000000001E-2</v>
      </c>
      <c r="D26" s="30">
        <f t="shared" si="0"/>
        <v>0</v>
      </c>
      <c r="E26" s="129"/>
      <c r="F26" s="128"/>
      <c r="G26" s="127"/>
      <c r="H26" s="126"/>
    </row>
    <row r="27" spans="1:8" ht="20.25" customHeight="1">
      <c r="A27" s="578"/>
      <c r="B27" s="34" t="s">
        <v>210</v>
      </c>
      <c r="C27" s="143">
        <v>1.2500000000000001E-2</v>
      </c>
      <c r="D27" s="30">
        <f t="shared" si="0"/>
        <v>0</v>
      </c>
      <c r="E27" s="129"/>
      <c r="F27" s="128"/>
      <c r="G27" s="127"/>
      <c r="H27" s="126"/>
    </row>
    <row r="28" spans="1:8" ht="24" customHeight="1">
      <c r="A28" s="665" t="s">
        <v>19</v>
      </c>
      <c r="B28" s="142" t="s">
        <v>209</v>
      </c>
      <c r="C28" s="130">
        <v>3.3000000000000002E-2</v>
      </c>
      <c r="D28" s="30">
        <f t="shared" si="0"/>
        <v>0</v>
      </c>
      <c r="E28" s="129"/>
      <c r="F28" s="128"/>
      <c r="G28" s="127"/>
      <c r="H28" s="126"/>
    </row>
    <row r="29" spans="1:8" ht="20.25" customHeight="1">
      <c r="A29" s="666"/>
      <c r="B29" s="141" t="s">
        <v>208</v>
      </c>
      <c r="C29" s="130">
        <v>3.3000000000000002E-2</v>
      </c>
      <c r="D29" s="30">
        <f t="shared" si="0"/>
        <v>0</v>
      </c>
      <c r="E29" s="129"/>
      <c r="F29" s="128"/>
      <c r="G29" s="127"/>
      <c r="H29" s="126"/>
    </row>
    <row r="30" spans="1:8" ht="22.5" customHeight="1">
      <c r="A30" s="667"/>
      <c r="B30" s="141" t="s">
        <v>207</v>
      </c>
      <c r="C30" s="130">
        <v>3.3000000000000002E-2</v>
      </c>
      <c r="D30" s="30">
        <f t="shared" si="0"/>
        <v>0</v>
      </c>
      <c r="E30" s="129"/>
      <c r="F30" s="128"/>
      <c r="G30" s="127"/>
      <c r="H30" s="126"/>
    </row>
    <row r="31" spans="1:8" ht="193.5" customHeight="1">
      <c r="A31" s="640" t="s">
        <v>206</v>
      </c>
      <c r="B31" s="141" t="s">
        <v>205</v>
      </c>
      <c r="C31" s="140">
        <v>0.2</v>
      </c>
      <c r="D31" s="30">
        <f t="shared" si="0"/>
        <v>0</v>
      </c>
      <c r="E31" s="129"/>
      <c r="F31" s="128"/>
      <c r="G31" s="139"/>
      <c r="H31" s="126"/>
    </row>
    <row r="32" spans="1:8" ht="24" customHeight="1">
      <c r="A32" s="640"/>
      <c r="B32" s="132" t="s">
        <v>204</v>
      </c>
      <c r="C32" s="138">
        <v>0.09</v>
      </c>
      <c r="D32" s="30">
        <f t="shared" si="0"/>
        <v>0</v>
      </c>
      <c r="E32" s="129"/>
      <c r="F32" s="128"/>
      <c r="G32" s="126"/>
      <c r="H32" s="126"/>
    </row>
    <row r="33" spans="1:8" ht="63" customHeight="1">
      <c r="A33" s="668" t="s">
        <v>203</v>
      </c>
      <c r="B33" s="136" t="s">
        <v>202</v>
      </c>
      <c r="C33" s="135">
        <v>2.3E-2</v>
      </c>
      <c r="D33" s="30">
        <f t="shared" si="0"/>
        <v>0</v>
      </c>
      <c r="E33" s="129"/>
      <c r="F33" s="137"/>
      <c r="G33" s="127"/>
      <c r="H33" s="126"/>
    </row>
    <row r="34" spans="1:8" ht="33.75" customHeight="1">
      <c r="A34" s="668"/>
      <c r="B34" s="136" t="s">
        <v>201</v>
      </c>
      <c r="C34" s="135">
        <v>2.3E-2</v>
      </c>
      <c r="D34" s="30">
        <f t="shared" si="0"/>
        <v>0</v>
      </c>
      <c r="E34" s="129"/>
      <c r="F34" s="128"/>
      <c r="G34" s="127"/>
      <c r="H34" s="126"/>
    </row>
    <row r="35" spans="1:8" ht="18.75" customHeight="1">
      <c r="A35" s="668"/>
      <c r="B35" s="136" t="s">
        <v>200</v>
      </c>
      <c r="C35" s="135">
        <v>2.3E-2</v>
      </c>
      <c r="D35" s="30">
        <f t="shared" si="0"/>
        <v>0</v>
      </c>
      <c r="E35" s="129"/>
      <c r="F35" s="128"/>
      <c r="G35" s="127"/>
      <c r="H35" s="126"/>
    </row>
    <row r="36" spans="1:8" ht="22.5" customHeight="1">
      <c r="A36" s="668"/>
      <c r="B36" s="136" t="s">
        <v>199</v>
      </c>
      <c r="C36" s="135">
        <v>2.3E-2</v>
      </c>
      <c r="D36" s="30">
        <f t="shared" si="0"/>
        <v>0</v>
      </c>
      <c r="E36" s="129"/>
      <c r="F36" s="128"/>
      <c r="G36" s="127"/>
      <c r="H36" s="126"/>
    </row>
    <row r="37" spans="1:8" ht="22.5" customHeight="1">
      <c r="A37" s="668"/>
      <c r="B37" s="136" t="s">
        <v>198</v>
      </c>
      <c r="C37" s="135">
        <v>2.3E-2</v>
      </c>
      <c r="D37" s="30">
        <f t="shared" si="0"/>
        <v>0</v>
      </c>
      <c r="E37" s="129"/>
      <c r="F37" s="128"/>
      <c r="G37" s="127"/>
      <c r="H37" s="126"/>
    </row>
    <row r="38" spans="1:8" ht="22.5" customHeight="1">
      <c r="A38" s="668"/>
      <c r="B38" s="136" t="s">
        <v>197</v>
      </c>
      <c r="C38" s="135">
        <v>2.3E-2</v>
      </c>
      <c r="D38" s="30">
        <f t="shared" si="0"/>
        <v>0</v>
      </c>
      <c r="E38" s="129"/>
      <c r="F38" s="128"/>
      <c r="G38" s="127"/>
      <c r="H38" s="126"/>
    </row>
    <row r="39" spans="1:8" ht="21" customHeight="1">
      <c r="A39" s="668"/>
      <c r="B39" s="127" t="s">
        <v>196</v>
      </c>
      <c r="C39" s="135">
        <v>2.3E-2</v>
      </c>
      <c r="D39" s="30">
        <f t="shared" si="0"/>
        <v>0</v>
      </c>
      <c r="E39" s="129"/>
      <c r="F39" s="128"/>
      <c r="G39" s="127"/>
      <c r="H39" s="126"/>
    </row>
    <row r="40" spans="1:8" ht="14.25" customHeight="1">
      <c r="A40" s="668"/>
      <c r="B40" s="127" t="s">
        <v>195</v>
      </c>
      <c r="C40" s="135">
        <v>2.3E-2</v>
      </c>
      <c r="D40" s="30">
        <f t="shared" si="0"/>
        <v>0</v>
      </c>
      <c r="E40" s="129"/>
      <c r="F40" s="128"/>
      <c r="G40" s="127"/>
      <c r="H40" s="126"/>
    </row>
    <row r="41" spans="1:8" ht="22.5" customHeight="1">
      <c r="A41" s="668"/>
      <c r="B41" s="127" t="s">
        <v>194</v>
      </c>
      <c r="C41" s="135">
        <v>2.3E-2</v>
      </c>
      <c r="D41" s="30">
        <f t="shared" si="0"/>
        <v>0</v>
      </c>
      <c r="E41" s="129"/>
      <c r="F41" s="128"/>
      <c r="G41" s="127"/>
      <c r="H41" s="126"/>
    </row>
    <row r="42" spans="1:8" ht="14.25" customHeight="1">
      <c r="A42" s="668"/>
      <c r="B42" s="127" t="s">
        <v>193</v>
      </c>
      <c r="C42" s="135">
        <v>2.3E-2</v>
      </c>
      <c r="D42" s="30">
        <f t="shared" si="0"/>
        <v>0</v>
      </c>
      <c r="E42" s="129"/>
      <c r="F42" s="128"/>
      <c r="G42" s="127"/>
      <c r="H42" s="126"/>
    </row>
    <row r="43" spans="1:8" ht="14.25" customHeight="1">
      <c r="A43" s="668"/>
      <c r="B43" s="127" t="s">
        <v>192</v>
      </c>
      <c r="C43" s="135">
        <v>2.3E-2</v>
      </c>
      <c r="D43" s="30">
        <f t="shared" si="0"/>
        <v>0</v>
      </c>
      <c r="E43" s="129"/>
      <c r="F43" s="128"/>
      <c r="G43" s="127"/>
      <c r="H43" s="126"/>
    </row>
    <row r="44" spans="1:8" ht="14.25" customHeight="1">
      <c r="A44" s="668"/>
      <c r="B44" s="127" t="s">
        <v>191</v>
      </c>
      <c r="C44" s="135">
        <v>2.3E-2</v>
      </c>
      <c r="D44" s="30">
        <f t="shared" si="0"/>
        <v>0</v>
      </c>
      <c r="E44" s="129"/>
      <c r="F44" s="128"/>
      <c r="G44" s="127"/>
      <c r="H44" s="126"/>
    </row>
    <row r="45" spans="1:8" ht="14.25" customHeight="1">
      <c r="A45" s="669"/>
      <c r="B45" s="127" t="s">
        <v>190</v>
      </c>
      <c r="C45" s="135">
        <v>2.3E-2</v>
      </c>
      <c r="D45" s="30">
        <f t="shared" si="0"/>
        <v>0</v>
      </c>
      <c r="E45" s="129"/>
      <c r="F45" s="128"/>
      <c r="G45" s="127"/>
      <c r="H45" s="126"/>
    </row>
    <row r="46" spans="1:8" ht="44.25" customHeight="1">
      <c r="A46" s="665" t="s">
        <v>189</v>
      </c>
      <c r="B46" s="21" t="s">
        <v>188</v>
      </c>
      <c r="C46" s="130">
        <v>1.4E-2</v>
      </c>
      <c r="D46" s="30">
        <f t="shared" si="0"/>
        <v>0</v>
      </c>
      <c r="E46" s="128"/>
      <c r="F46" s="128"/>
      <c r="G46" s="127"/>
      <c r="H46" s="126"/>
    </row>
    <row r="47" spans="1:8" ht="29.25" customHeight="1">
      <c r="A47" s="666"/>
      <c r="B47" s="120" t="s">
        <v>187</v>
      </c>
      <c r="C47" s="130">
        <v>1.4E-2</v>
      </c>
      <c r="D47" s="30">
        <f t="shared" si="0"/>
        <v>0</v>
      </c>
      <c r="E47" s="129"/>
      <c r="F47" s="128"/>
      <c r="G47" s="127"/>
      <c r="H47" s="126"/>
    </row>
    <row r="48" spans="1:8" ht="14.25" customHeight="1">
      <c r="A48" s="666"/>
      <c r="B48" s="134" t="s">
        <v>186</v>
      </c>
      <c r="C48" s="130">
        <v>1.4E-2</v>
      </c>
      <c r="D48" s="30">
        <f t="shared" si="0"/>
        <v>0</v>
      </c>
      <c r="E48" s="129"/>
      <c r="F48" s="128"/>
      <c r="G48" s="127"/>
      <c r="H48" s="126"/>
    </row>
    <row r="49" spans="1:8" ht="17.25" customHeight="1">
      <c r="A49" s="666"/>
      <c r="B49" s="132" t="s">
        <v>185</v>
      </c>
      <c r="C49" s="130">
        <v>1.4E-2</v>
      </c>
      <c r="D49" s="30">
        <f t="shared" si="0"/>
        <v>0</v>
      </c>
      <c r="E49" s="129"/>
      <c r="F49" s="128"/>
      <c r="G49" s="127"/>
      <c r="H49" s="126"/>
    </row>
    <row r="50" spans="1:8" ht="37.5" customHeight="1">
      <c r="A50" s="666"/>
      <c r="B50" s="133" t="s">
        <v>184</v>
      </c>
      <c r="C50" s="130">
        <v>1.4E-2</v>
      </c>
      <c r="D50" s="30">
        <f t="shared" si="0"/>
        <v>0</v>
      </c>
      <c r="E50" s="129"/>
      <c r="F50" s="128"/>
      <c r="G50" s="127"/>
      <c r="H50" s="126"/>
    </row>
    <row r="51" spans="1:8" ht="35.25" customHeight="1">
      <c r="A51" s="666"/>
      <c r="B51" s="21" t="s">
        <v>183</v>
      </c>
      <c r="C51" s="130">
        <v>1.4E-2</v>
      </c>
      <c r="D51" s="30">
        <f t="shared" si="0"/>
        <v>0</v>
      </c>
      <c r="E51" s="129"/>
      <c r="F51" s="128"/>
      <c r="G51" s="127"/>
      <c r="H51" s="126"/>
    </row>
    <row r="52" spans="1:8" ht="23.25" customHeight="1">
      <c r="A52" s="666"/>
      <c r="B52" s="132" t="s">
        <v>182</v>
      </c>
      <c r="C52" s="130">
        <v>1.4E-2</v>
      </c>
      <c r="D52" s="30">
        <f t="shared" si="0"/>
        <v>0</v>
      </c>
      <c r="E52" s="129"/>
      <c r="F52" s="128"/>
      <c r="G52" s="127"/>
      <c r="H52" s="126"/>
    </row>
    <row r="53" spans="1:8" ht="21" customHeight="1">
      <c r="A53" s="667"/>
      <c r="B53" s="131" t="s">
        <v>181</v>
      </c>
      <c r="C53" s="130">
        <v>1.4E-2</v>
      </c>
      <c r="D53" s="30">
        <f t="shared" si="0"/>
        <v>0</v>
      </c>
      <c r="E53" s="129"/>
      <c r="F53" s="128"/>
      <c r="G53" s="127"/>
      <c r="H53" s="126"/>
    </row>
    <row r="54" spans="1:8" customFormat="1">
      <c r="A54" s="634" t="s">
        <v>14</v>
      </c>
      <c r="B54" s="611"/>
      <c r="C54" s="125">
        <f>SUM(C18:C53)</f>
        <v>1.0000000000000004</v>
      </c>
      <c r="D54" s="125"/>
      <c r="E54" s="22">
        <f>COUNT(E18:E53)</f>
        <v>0</v>
      </c>
      <c r="F54" s="22">
        <f>COUNT(F18:F53)</f>
        <v>0</v>
      </c>
      <c r="G54" s="22">
        <f>COUNT(G18:G53)</f>
        <v>0</v>
      </c>
      <c r="H54" s="23"/>
    </row>
    <row r="55" spans="1:8" s="12" customFormat="1" ht="15">
      <c r="A55" s="671"/>
      <c r="B55" s="672"/>
      <c r="C55" s="110"/>
      <c r="D55" s="114"/>
      <c r="E55" s="662">
        <f>IFERROR((E54/((E54+F54+G54)-G54)),0)</f>
        <v>0</v>
      </c>
      <c r="F55" s="663"/>
      <c r="G55" s="664"/>
      <c r="H55" s="124"/>
    </row>
    <row r="56" spans="1:8" customFormat="1">
      <c r="E56" s="670"/>
      <c r="F56" s="670"/>
      <c r="G56" s="670"/>
      <c r="H56" s="670"/>
    </row>
    <row r="57" spans="1:8" customFormat="1"/>
    <row r="58" spans="1:8" customFormat="1" ht="15.75">
      <c r="A58" s="15" t="s">
        <v>20</v>
      </c>
      <c r="B58" s="16" t="s">
        <v>15</v>
      </c>
      <c r="C58" s="24"/>
      <c r="D58" s="24"/>
      <c r="E58" s="24"/>
      <c r="F58" s="25"/>
      <c r="G58" s="25"/>
      <c r="H58" s="26"/>
    </row>
    <row r="59" spans="1:8" customFormat="1" ht="15.75">
      <c r="A59" s="17" t="s">
        <v>21</v>
      </c>
      <c r="B59" s="475" t="s">
        <v>22</v>
      </c>
      <c r="C59" s="476"/>
      <c r="D59" s="476"/>
      <c r="E59" s="476"/>
      <c r="F59" s="476"/>
      <c r="G59" s="476"/>
      <c r="H59" s="476"/>
    </row>
    <row r="60" spans="1:8" customFormat="1" ht="15.75">
      <c r="A60" s="18" t="s">
        <v>23</v>
      </c>
      <c r="B60" s="475" t="s">
        <v>16</v>
      </c>
      <c r="C60" s="475"/>
      <c r="D60" s="475"/>
      <c r="E60" s="475"/>
      <c r="F60" s="475"/>
      <c r="G60" s="475"/>
      <c r="H60" s="475"/>
    </row>
    <row r="61" spans="1:8" customFormat="1" ht="15.75">
      <c r="A61" s="19" t="s">
        <v>17</v>
      </c>
      <c r="B61" s="475" t="s">
        <v>18</v>
      </c>
      <c r="C61" s="475"/>
      <c r="D61" s="475"/>
      <c r="E61" s="475"/>
      <c r="F61" s="475"/>
      <c r="G61" s="475"/>
      <c r="H61" s="475"/>
    </row>
  </sheetData>
  <mergeCells count="21">
    <mergeCell ref="A18:A19"/>
    <mergeCell ref="E1:G1"/>
    <mergeCell ref="B3:G4"/>
    <mergeCell ref="E7:G7"/>
    <mergeCell ref="A13:B13"/>
    <mergeCell ref="E13:H13"/>
    <mergeCell ref="A14:B17"/>
    <mergeCell ref="B61:H61"/>
    <mergeCell ref="A20:A27"/>
    <mergeCell ref="A28:A30"/>
    <mergeCell ref="A31:A32"/>
    <mergeCell ref="A33:A45"/>
    <mergeCell ref="A46:A53"/>
    <mergeCell ref="E56:H56"/>
    <mergeCell ref="A54:B55"/>
    <mergeCell ref="E55:G55"/>
    <mergeCell ref="D14:D17"/>
    <mergeCell ref="C14:C17"/>
    <mergeCell ref="B59:H59"/>
    <mergeCell ref="B60:H60"/>
    <mergeCell ref="E15:G15"/>
  </mergeCells>
  <conditionalFormatting sqref="E55:G55">
    <cfRule type="colorScale" priority="5">
      <colorScale>
        <cfvo type="num" val="0.5"/>
        <cfvo type="num" val="0.7"/>
        <cfvo type="num" val="1"/>
        <color rgb="FFFF0000"/>
        <color rgb="FFFFEB84"/>
        <color theme="9" tint="-0.249977111117893"/>
      </colorScale>
    </cfRule>
  </conditionalFormatting>
  <conditionalFormatting sqref="D18:D53">
    <cfRule type="cellIs" dxfId="8" priority="1" operator="equal">
      <formula>0</formula>
    </cfRule>
    <cfRule type="containsText" dxfId="7" priority="2" operator="containsText" text="PORFAVOR MARQUE UNA SOLA OPCION">
      <formula>NOT(ISERROR(SEARCH("PORFAVOR MARQUE UNA SOLA OPCION",D18)))</formula>
    </cfRule>
    <cfRule type="cellIs" dxfId="6" priority="3" operator="greaterThan">
      <formula>0</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B8CF-F41E-425B-9E3B-40C4115C86DE}">
  <dimension ref="A1:SK106"/>
  <sheetViews>
    <sheetView topLeftCell="A55" zoomScale="73" zoomScaleNormal="73" workbookViewId="0">
      <selection activeCell="G87" sqref="G87"/>
    </sheetView>
  </sheetViews>
  <sheetFormatPr baseColWidth="10" defaultColWidth="11.5" defaultRowHeight="14.25"/>
  <cols>
    <col min="1" max="1" width="37" style="33" customWidth="1"/>
    <col min="2" max="2" width="100" style="34" customWidth="1"/>
    <col min="3" max="4" width="14.375" style="34" customWidth="1"/>
    <col min="5" max="5" width="16.375" style="33" customWidth="1"/>
    <col min="6" max="6" width="20.875" style="33" customWidth="1"/>
    <col min="7" max="7" width="16.375" style="34" customWidth="1"/>
    <col min="8" max="8" width="23.5" style="34" customWidth="1"/>
    <col min="9" max="16384" width="11.5" style="34"/>
  </cols>
  <sheetData>
    <row r="1" spans="1:8">
      <c r="B1"/>
      <c r="C1"/>
      <c r="D1"/>
      <c r="E1" s="621"/>
      <c r="F1" s="621"/>
      <c r="G1" s="621"/>
    </row>
    <row r="2" spans="1:8">
      <c r="B2"/>
      <c r="C2"/>
      <c r="D2"/>
      <c r="E2" s="35"/>
      <c r="F2" s="35"/>
      <c r="G2" s="35"/>
    </row>
    <row r="3" spans="1:8">
      <c r="B3" s="568" t="s">
        <v>26</v>
      </c>
      <c r="C3" s="568"/>
      <c r="D3" s="568"/>
      <c r="E3" s="568"/>
      <c r="F3" s="568"/>
      <c r="G3" s="568"/>
    </row>
    <row r="4" spans="1:8">
      <c r="B4" s="568"/>
      <c r="C4" s="568"/>
      <c r="D4" s="568"/>
      <c r="E4" s="568"/>
      <c r="F4" s="568"/>
      <c r="G4" s="568"/>
    </row>
    <row r="5" spans="1:8" customFormat="1">
      <c r="A5" s="1"/>
      <c r="E5" s="1"/>
    </row>
    <row r="6" spans="1:8" customFormat="1">
      <c r="A6" s="1"/>
      <c r="E6" s="1"/>
    </row>
    <row r="7" spans="1:8" customFormat="1" ht="30.75" customHeight="1">
      <c r="A7" s="2" t="s">
        <v>1</v>
      </c>
      <c r="B7" s="3"/>
      <c r="C7" s="28"/>
      <c r="D7" s="28"/>
      <c r="E7" s="569" t="s">
        <v>2</v>
      </c>
      <c r="F7" s="570"/>
      <c r="G7" s="571"/>
    </row>
    <row r="8" spans="1:8" customFormat="1" ht="30.75" customHeight="1">
      <c r="A8" s="2" t="s">
        <v>3</v>
      </c>
      <c r="B8" s="4"/>
      <c r="C8" s="4"/>
      <c r="D8" s="4"/>
      <c r="E8" s="5" t="s">
        <v>4</v>
      </c>
      <c r="F8" s="5" t="s">
        <v>5</v>
      </c>
      <c r="G8" s="5" t="s">
        <v>6</v>
      </c>
    </row>
    <row r="9" spans="1:8" customFormat="1" ht="30.75" customHeight="1">
      <c r="A9" s="2" t="s">
        <v>7</v>
      </c>
      <c r="B9" s="3"/>
      <c r="C9" s="3"/>
      <c r="D9" s="3"/>
      <c r="E9" s="6">
        <v>1</v>
      </c>
      <c r="F9" s="7">
        <v>0</v>
      </c>
      <c r="G9" s="5">
        <v>1</v>
      </c>
    </row>
    <row r="10" spans="1:8" customFormat="1">
      <c r="A10" s="1"/>
      <c r="E10" s="1"/>
      <c r="F10" s="153"/>
      <c r="G10" s="14"/>
      <c r="H10" s="13"/>
    </row>
    <row r="13" spans="1:8" ht="20.25">
      <c r="A13" s="650" t="s">
        <v>307</v>
      </c>
      <c r="B13" s="650"/>
      <c r="C13" s="636" t="s">
        <v>24</v>
      </c>
      <c r="D13" s="636" t="s">
        <v>25</v>
      </c>
      <c r="E13" s="648" t="s">
        <v>306</v>
      </c>
      <c r="F13" s="642"/>
      <c r="G13" s="642"/>
      <c r="H13" s="649"/>
    </row>
    <row r="14" spans="1:8" ht="30" customHeight="1">
      <c r="A14" s="644" t="s">
        <v>8</v>
      </c>
      <c r="B14" s="644"/>
      <c r="C14" s="637"/>
      <c r="D14" s="637"/>
      <c r="E14" s="9"/>
      <c r="F14" s="9"/>
      <c r="G14" s="10"/>
      <c r="H14" s="10"/>
    </row>
    <row r="15" spans="1:8" ht="12" customHeight="1">
      <c r="A15" s="644"/>
      <c r="B15" s="644"/>
      <c r="C15" s="637"/>
      <c r="D15" s="637"/>
      <c r="E15" s="645" t="s">
        <v>2</v>
      </c>
      <c r="F15" s="645"/>
      <c r="G15" s="645"/>
      <c r="H15" s="8" t="s">
        <v>0</v>
      </c>
    </row>
    <row r="16" spans="1:8" ht="30.75" customHeight="1" thickBot="1">
      <c r="A16" s="644"/>
      <c r="B16" s="644"/>
      <c r="C16" s="638"/>
      <c r="D16" s="638"/>
      <c r="E16" s="8" t="s">
        <v>13</v>
      </c>
      <c r="F16" s="8" t="s">
        <v>5</v>
      </c>
      <c r="G16" s="8" t="s">
        <v>6</v>
      </c>
      <c r="H16" s="150"/>
    </row>
    <row r="17" spans="1:8" ht="15">
      <c r="A17" s="654" t="s">
        <v>305</v>
      </c>
      <c r="B17" s="168" t="s">
        <v>304</v>
      </c>
      <c r="C17" s="158">
        <v>1.4E-2</v>
      </c>
      <c r="D17" s="30">
        <f t="shared" ref="D17:D48" si="0">IF(COUNTA(E17:G17)&gt;1, "PORFAVOR MARQUE UNA SOLA OPCION", IF(OR(E17&lt;&gt;"", G17&lt;&gt;""), C17, IF(F17&lt;&gt;"", 0, 0)))</f>
        <v>0</v>
      </c>
      <c r="E17" s="128"/>
      <c r="F17" s="128"/>
      <c r="G17" s="127"/>
      <c r="H17" s="126"/>
    </row>
    <row r="18" spans="1:8" ht="15">
      <c r="A18" s="655"/>
      <c r="B18" s="168" t="s">
        <v>303</v>
      </c>
      <c r="C18" s="158">
        <v>1.35E-2</v>
      </c>
      <c r="D18" s="30">
        <f t="shared" si="0"/>
        <v>0</v>
      </c>
      <c r="E18" s="128"/>
      <c r="F18" s="128"/>
      <c r="G18" s="127"/>
      <c r="H18" s="127"/>
    </row>
    <row r="19" spans="1:8" ht="15">
      <c r="A19" s="655"/>
      <c r="B19" s="168" t="s">
        <v>302</v>
      </c>
      <c r="C19" s="158">
        <v>1.4999999999999999E-2</v>
      </c>
      <c r="D19" s="30">
        <f t="shared" si="0"/>
        <v>0</v>
      </c>
      <c r="E19" s="128"/>
      <c r="F19" s="128"/>
      <c r="G19" s="127"/>
      <c r="H19" s="127"/>
    </row>
    <row r="20" spans="1:8" ht="15">
      <c r="A20" s="655"/>
      <c r="B20" s="168" t="s">
        <v>301</v>
      </c>
      <c r="C20" s="158">
        <v>1.43E-2</v>
      </c>
      <c r="D20" s="30">
        <f t="shared" si="0"/>
        <v>0</v>
      </c>
      <c r="E20" s="128"/>
      <c r="F20" s="128"/>
      <c r="G20" s="127"/>
      <c r="H20" s="127"/>
    </row>
    <row r="21" spans="1:8" ht="15">
      <c r="A21" s="655"/>
      <c r="B21" s="168" t="s">
        <v>300</v>
      </c>
      <c r="C21" s="158">
        <v>1.2999999999999999E-2</v>
      </c>
      <c r="D21" s="30">
        <f t="shared" si="0"/>
        <v>0</v>
      </c>
      <c r="E21" s="128"/>
      <c r="F21" s="128"/>
      <c r="G21" s="127"/>
      <c r="H21" s="127"/>
    </row>
    <row r="22" spans="1:8" ht="15">
      <c r="A22" s="655"/>
      <c r="B22" s="168" t="s">
        <v>299</v>
      </c>
      <c r="C22" s="158">
        <v>1.55E-2</v>
      </c>
      <c r="D22" s="30">
        <f t="shared" si="0"/>
        <v>0</v>
      </c>
      <c r="E22" s="128"/>
      <c r="F22" s="128"/>
      <c r="G22" s="127"/>
      <c r="H22" s="127"/>
    </row>
    <row r="23" spans="1:8" ht="29.25" thickBot="1">
      <c r="A23" s="656"/>
      <c r="B23" s="174" t="s">
        <v>298</v>
      </c>
      <c r="C23" s="158">
        <v>1.6E-2</v>
      </c>
      <c r="D23" s="30">
        <f t="shared" si="0"/>
        <v>0</v>
      </c>
      <c r="E23" s="128"/>
      <c r="F23" s="128"/>
      <c r="G23" s="127"/>
      <c r="H23" s="127"/>
    </row>
    <row r="24" spans="1:8" ht="15">
      <c r="A24" s="654" t="s">
        <v>297</v>
      </c>
      <c r="B24" s="169" t="s">
        <v>296</v>
      </c>
      <c r="C24" s="158">
        <v>1.2500000000000001E-2</v>
      </c>
      <c r="D24" s="30">
        <f t="shared" si="0"/>
        <v>0</v>
      </c>
      <c r="E24" s="128"/>
      <c r="F24" s="128"/>
      <c r="G24" s="127"/>
      <c r="H24" s="127"/>
    </row>
    <row r="25" spans="1:8" ht="15">
      <c r="A25" s="655"/>
      <c r="B25" s="168" t="s">
        <v>295</v>
      </c>
      <c r="C25" s="158">
        <v>1.4999999999999999E-2</v>
      </c>
      <c r="D25" s="30">
        <f t="shared" si="0"/>
        <v>0</v>
      </c>
      <c r="E25" s="128"/>
      <c r="F25" s="128"/>
      <c r="G25" s="127"/>
      <c r="H25" s="126"/>
    </row>
    <row r="26" spans="1:8" ht="15">
      <c r="A26" s="655"/>
      <c r="B26" s="168" t="s">
        <v>294</v>
      </c>
      <c r="C26" s="158">
        <v>1.35E-2</v>
      </c>
      <c r="D26" s="30">
        <f t="shared" si="0"/>
        <v>0</v>
      </c>
      <c r="E26" s="128"/>
      <c r="F26" s="128"/>
      <c r="G26" s="127"/>
      <c r="H26" s="127"/>
    </row>
    <row r="27" spans="1:8" ht="22.5" customHeight="1" thickBot="1">
      <c r="A27" s="655"/>
      <c r="B27" s="173" t="s">
        <v>293</v>
      </c>
      <c r="C27" s="158">
        <v>1.4500000000000001E-2</v>
      </c>
      <c r="D27" s="30">
        <f t="shared" si="0"/>
        <v>0</v>
      </c>
      <c r="E27" s="128"/>
      <c r="F27" s="128"/>
      <c r="G27" s="127"/>
      <c r="H27" s="126"/>
    </row>
    <row r="28" spans="1:8" ht="30">
      <c r="A28" s="654" t="s">
        <v>292</v>
      </c>
      <c r="B28" s="169" t="s">
        <v>291</v>
      </c>
      <c r="C28" s="158">
        <v>1.4E-2</v>
      </c>
      <c r="D28" s="30">
        <f t="shared" si="0"/>
        <v>0</v>
      </c>
      <c r="E28" s="128"/>
      <c r="F28" s="128"/>
      <c r="G28" s="127"/>
      <c r="H28" s="126"/>
    </row>
    <row r="29" spans="1:8" ht="15">
      <c r="A29" s="655"/>
      <c r="B29" s="168" t="s">
        <v>290</v>
      </c>
      <c r="C29" s="158">
        <v>1.55E-2</v>
      </c>
      <c r="D29" s="30">
        <f t="shared" si="0"/>
        <v>0</v>
      </c>
      <c r="E29" s="128"/>
      <c r="F29" s="128"/>
      <c r="G29" s="127"/>
      <c r="H29" s="127"/>
    </row>
    <row r="30" spans="1:8" ht="15">
      <c r="A30" s="655"/>
      <c r="B30" s="168" t="s">
        <v>289</v>
      </c>
      <c r="C30" s="158">
        <v>1.2999999999999999E-2</v>
      </c>
      <c r="D30" s="30">
        <f t="shared" si="0"/>
        <v>0</v>
      </c>
      <c r="E30" s="128"/>
      <c r="F30" s="128"/>
      <c r="G30" s="127"/>
      <c r="H30" s="127"/>
    </row>
    <row r="31" spans="1:8" ht="15">
      <c r="A31" s="655"/>
      <c r="B31" s="172" t="s">
        <v>288</v>
      </c>
      <c r="C31" s="158">
        <v>1.6E-2</v>
      </c>
      <c r="D31" s="30">
        <f t="shared" si="0"/>
        <v>0</v>
      </c>
      <c r="E31" s="128"/>
      <c r="F31" s="128"/>
      <c r="G31" s="127"/>
      <c r="H31" s="127"/>
    </row>
    <row r="32" spans="1:8" ht="15.75" thickBot="1">
      <c r="A32" s="656"/>
      <c r="B32" s="167" t="s">
        <v>287</v>
      </c>
      <c r="C32" s="158">
        <v>1.35E-2</v>
      </c>
      <c r="D32" s="30">
        <f t="shared" si="0"/>
        <v>0</v>
      </c>
      <c r="E32" s="128"/>
      <c r="F32" s="128"/>
      <c r="G32" s="127"/>
      <c r="H32" s="126"/>
    </row>
    <row r="33" spans="1:8" ht="15">
      <c r="A33" s="654" t="s">
        <v>286</v>
      </c>
      <c r="B33" s="166" t="s">
        <v>285</v>
      </c>
      <c r="C33" s="158">
        <v>1.4999999999999999E-2</v>
      </c>
      <c r="D33" s="30">
        <f t="shared" si="0"/>
        <v>0</v>
      </c>
      <c r="E33" s="128"/>
      <c r="F33" s="128"/>
      <c r="G33" s="127"/>
      <c r="H33" s="126"/>
    </row>
    <row r="34" spans="1:8" ht="15">
      <c r="A34" s="655"/>
      <c r="B34" s="165" t="s">
        <v>284</v>
      </c>
      <c r="C34" s="158">
        <v>1.4E-2</v>
      </c>
      <c r="D34" s="30">
        <f t="shared" si="0"/>
        <v>0</v>
      </c>
      <c r="E34" s="128"/>
      <c r="F34" s="128"/>
      <c r="G34" s="127"/>
      <c r="H34" s="126"/>
    </row>
    <row r="35" spans="1:8" ht="15">
      <c r="A35" s="655"/>
      <c r="B35" s="165" t="s">
        <v>283</v>
      </c>
      <c r="C35" s="158">
        <v>1.4500000000000001E-2</v>
      </c>
      <c r="D35" s="30">
        <f t="shared" si="0"/>
        <v>0</v>
      </c>
      <c r="E35" s="128"/>
      <c r="F35" s="128"/>
      <c r="G35" s="127"/>
      <c r="H35" s="126"/>
    </row>
    <row r="36" spans="1:8" ht="15">
      <c r="A36" s="655"/>
      <c r="B36" s="165" t="s">
        <v>282</v>
      </c>
      <c r="C36" s="158">
        <v>1.35E-2</v>
      </c>
      <c r="D36" s="30">
        <f t="shared" si="0"/>
        <v>0</v>
      </c>
      <c r="E36" s="128"/>
      <c r="F36" s="128"/>
      <c r="G36" s="127"/>
      <c r="H36" s="126"/>
    </row>
    <row r="37" spans="1:8" ht="15">
      <c r="A37" s="655"/>
      <c r="B37" s="165" t="s">
        <v>281</v>
      </c>
      <c r="C37" s="158">
        <v>1.4999999999999999E-2</v>
      </c>
      <c r="D37" s="30">
        <f t="shared" si="0"/>
        <v>0</v>
      </c>
      <c r="E37" s="128"/>
      <c r="F37" s="128"/>
      <c r="G37" s="127"/>
      <c r="H37" s="126"/>
    </row>
    <row r="38" spans="1:8" ht="15">
      <c r="A38" s="655"/>
      <c r="B38" s="165" t="s">
        <v>273</v>
      </c>
      <c r="C38" s="158">
        <v>1.2999999999999999E-2</v>
      </c>
      <c r="D38" s="30">
        <f t="shared" si="0"/>
        <v>0</v>
      </c>
      <c r="E38" s="128"/>
      <c r="F38" s="128"/>
      <c r="G38" s="127"/>
      <c r="H38" s="126"/>
    </row>
    <row r="39" spans="1:8" ht="15.75" thickBot="1">
      <c r="A39" s="656"/>
      <c r="B39" s="171" t="s">
        <v>280</v>
      </c>
      <c r="C39" s="158">
        <v>1.55E-2</v>
      </c>
      <c r="D39" s="30">
        <f t="shared" si="0"/>
        <v>0</v>
      </c>
      <c r="E39" s="128"/>
      <c r="F39" s="128"/>
      <c r="G39" s="127"/>
      <c r="H39" s="126"/>
    </row>
    <row r="40" spans="1:8" ht="15">
      <c r="A40" s="654" t="s">
        <v>279</v>
      </c>
      <c r="B40" s="164" t="s">
        <v>278</v>
      </c>
      <c r="C40" s="158">
        <v>1.4E-2</v>
      </c>
      <c r="D40" s="30">
        <f t="shared" si="0"/>
        <v>0</v>
      </c>
      <c r="E40" s="128"/>
      <c r="F40" s="128"/>
      <c r="G40" s="127"/>
      <c r="H40" s="127"/>
    </row>
    <row r="41" spans="1:8" ht="15">
      <c r="A41" s="655"/>
      <c r="B41" s="162" t="s">
        <v>277</v>
      </c>
      <c r="C41" s="158">
        <v>1.35E-2</v>
      </c>
      <c r="D41" s="30">
        <f t="shared" si="0"/>
        <v>0</v>
      </c>
      <c r="E41" s="128"/>
      <c r="F41" s="128"/>
      <c r="G41" s="127"/>
      <c r="H41" s="126"/>
    </row>
    <row r="42" spans="1:8" ht="15">
      <c r="A42" s="655"/>
      <c r="B42" s="162" t="s">
        <v>276</v>
      </c>
      <c r="C42" s="158">
        <v>1.4500000000000001E-2</v>
      </c>
      <c r="D42" s="30">
        <f t="shared" si="0"/>
        <v>0</v>
      </c>
      <c r="E42" s="128"/>
      <c r="F42" s="128"/>
      <c r="G42" s="127"/>
      <c r="H42" s="127"/>
    </row>
    <row r="43" spans="1:8" ht="15">
      <c r="A43" s="655"/>
      <c r="B43" s="162" t="s">
        <v>275</v>
      </c>
      <c r="C43" s="158">
        <v>1.4999999999999999E-2</v>
      </c>
      <c r="D43" s="30">
        <f t="shared" si="0"/>
        <v>0</v>
      </c>
      <c r="E43" s="128"/>
      <c r="F43" s="128"/>
      <c r="G43" s="127"/>
      <c r="H43" s="127"/>
    </row>
    <row r="44" spans="1:8" ht="15">
      <c r="A44" s="655"/>
      <c r="B44" s="162" t="s">
        <v>274</v>
      </c>
      <c r="C44" s="158">
        <v>1.2999999999999999E-2</v>
      </c>
      <c r="D44" s="30">
        <f t="shared" si="0"/>
        <v>0</v>
      </c>
      <c r="E44" s="128"/>
      <c r="F44" s="128"/>
      <c r="G44" s="127"/>
      <c r="H44" s="127"/>
    </row>
    <row r="45" spans="1:8" ht="15">
      <c r="A45" s="655"/>
      <c r="B45" s="162" t="s">
        <v>273</v>
      </c>
      <c r="C45" s="158">
        <v>1.55E-2</v>
      </c>
      <c r="D45" s="30">
        <f t="shared" si="0"/>
        <v>0</v>
      </c>
      <c r="E45" s="128"/>
      <c r="F45" s="128"/>
      <c r="G45" s="127"/>
      <c r="H45" s="127"/>
    </row>
    <row r="46" spans="1:8" ht="15">
      <c r="A46" s="655"/>
      <c r="B46" s="162" t="s">
        <v>272</v>
      </c>
      <c r="C46" s="158">
        <v>1.4E-2</v>
      </c>
      <c r="D46" s="30">
        <f t="shared" si="0"/>
        <v>0</v>
      </c>
      <c r="E46" s="128"/>
      <c r="F46" s="128"/>
      <c r="G46" s="127"/>
      <c r="H46" s="127"/>
    </row>
    <row r="47" spans="1:8" ht="15">
      <c r="A47" s="655"/>
      <c r="B47" s="162" t="s">
        <v>271</v>
      </c>
      <c r="C47" s="158">
        <v>1.35E-2</v>
      </c>
      <c r="D47" s="30">
        <f t="shared" si="0"/>
        <v>0</v>
      </c>
      <c r="E47" s="128"/>
      <c r="F47" s="128"/>
      <c r="G47" s="127"/>
      <c r="H47" s="127"/>
    </row>
    <row r="48" spans="1:8" ht="15">
      <c r="A48" s="655"/>
      <c r="B48" s="162" t="s">
        <v>270</v>
      </c>
      <c r="C48" s="158">
        <v>1.4999999999999999E-2</v>
      </c>
      <c r="D48" s="30">
        <f t="shared" si="0"/>
        <v>0</v>
      </c>
      <c r="E48" s="128"/>
      <c r="F48" s="128"/>
      <c r="G48" s="127"/>
      <c r="H48" s="127"/>
    </row>
    <row r="49" spans="1:8" ht="15">
      <c r="A49" s="655"/>
      <c r="B49" s="162" t="s">
        <v>269</v>
      </c>
      <c r="C49" s="158">
        <v>1.4500000000000001E-2</v>
      </c>
      <c r="D49" s="30">
        <f t="shared" ref="D49:D80" si="1">IF(COUNTA(E49:G49)&gt;1, "PORFAVOR MARQUE UNA SOLA OPCION", IF(OR(E49&lt;&gt;"", G49&lt;&gt;""), C49, IF(F49&lt;&gt;"", 0, 0)))</f>
        <v>0</v>
      </c>
      <c r="E49" s="128"/>
      <c r="F49" s="128"/>
      <c r="G49" s="127"/>
      <c r="H49" s="126"/>
    </row>
    <row r="50" spans="1:8" ht="15">
      <c r="A50" s="655"/>
      <c r="B50" s="162" t="s">
        <v>268</v>
      </c>
      <c r="C50" s="158">
        <v>1.2999999999999999E-2</v>
      </c>
      <c r="D50" s="30">
        <f t="shared" si="1"/>
        <v>0</v>
      </c>
      <c r="E50" s="128"/>
      <c r="F50" s="128"/>
      <c r="G50" s="127"/>
      <c r="H50" s="126"/>
    </row>
    <row r="51" spans="1:8" ht="15.75" thickBot="1">
      <c r="A51" s="656"/>
      <c r="B51" s="170" t="s">
        <v>267</v>
      </c>
      <c r="C51" s="158">
        <v>1.55E-2</v>
      </c>
      <c r="D51" s="30">
        <f t="shared" si="1"/>
        <v>0</v>
      </c>
      <c r="E51" s="128"/>
      <c r="F51" s="128"/>
      <c r="G51" s="127"/>
      <c r="H51" s="127"/>
    </row>
    <row r="52" spans="1:8" ht="15">
      <c r="A52" s="654" t="s">
        <v>266</v>
      </c>
      <c r="B52" s="169" t="s">
        <v>265</v>
      </c>
      <c r="C52" s="158">
        <v>1.4E-2</v>
      </c>
      <c r="D52" s="30">
        <f t="shared" si="1"/>
        <v>0</v>
      </c>
      <c r="E52" s="128"/>
      <c r="F52" s="128"/>
      <c r="G52" s="127"/>
      <c r="H52" s="127"/>
    </row>
    <row r="53" spans="1:8" ht="15.75" thickBot="1">
      <c r="A53" s="656"/>
      <c r="B53" s="167" t="s">
        <v>264</v>
      </c>
      <c r="C53" s="158">
        <v>1.35E-2</v>
      </c>
      <c r="D53" s="30">
        <f t="shared" si="1"/>
        <v>0</v>
      </c>
      <c r="E53" s="128"/>
      <c r="F53" s="128"/>
      <c r="G53" s="127"/>
      <c r="H53" s="126"/>
    </row>
    <row r="54" spans="1:8" ht="15">
      <c r="A54" s="654" t="s">
        <v>263</v>
      </c>
      <c r="B54" s="169" t="s">
        <v>262</v>
      </c>
      <c r="C54" s="158">
        <v>1.4999999999999999E-2</v>
      </c>
      <c r="D54" s="30">
        <f t="shared" si="1"/>
        <v>0</v>
      </c>
      <c r="E54" s="128"/>
      <c r="F54" s="128"/>
      <c r="G54" s="127"/>
      <c r="H54" s="159"/>
    </row>
    <row r="55" spans="1:8" ht="15">
      <c r="A55" s="655"/>
      <c r="B55" s="168" t="s">
        <v>261</v>
      </c>
      <c r="C55" s="158">
        <v>1.4500000000000001E-2</v>
      </c>
      <c r="D55" s="30">
        <f t="shared" si="1"/>
        <v>0</v>
      </c>
      <c r="E55" s="128"/>
      <c r="F55" s="128"/>
      <c r="G55" s="127"/>
      <c r="H55" s="127"/>
    </row>
    <row r="56" spans="1:8" ht="15">
      <c r="A56" s="655"/>
      <c r="B56" s="168" t="s">
        <v>260</v>
      </c>
      <c r="C56" s="158">
        <v>1.2999999999999999E-2</v>
      </c>
      <c r="D56" s="30">
        <f t="shared" si="1"/>
        <v>0</v>
      </c>
      <c r="E56" s="128"/>
      <c r="F56" s="128"/>
      <c r="G56" s="127"/>
      <c r="H56" s="127"/>
    </row>
    <row r="57" spans="1:8" ht="15">
      <c r="A57" s="655"/>
      <c r="B57" s="168" t="s">
        <v>259</v>
      </c>
      <c r="C57" s="158">
        <v>1.55E-2</v>
      </c>
      <c r="D57" s="30">
        <f t="shared" si="1"/>
        <v>0</v>
      </c>
      <c r="E57" s="128"/>
      <c r="F57" s="128"/>
      <c r="G57" s="127"/>
      <c r="H57" s="127"/>
    </row>
    <row r="58" spans="1:8" ht="15.75" thickBot="1">
      <c r="A58" s="656"/>
      <c r="B58" s="167" t="s">
        <v>258</v>
      </c>
      <c r="C58" s="158">
        <v>1.4E-2</v>
      </c>
      <c r="D58" s="30">
        <f t="shared" si="1"/>
        <v>0</v>
      </c>
      <c r="E58" s="128"/>
      <c r="F58" s="128"/>
      <c r="G58" s="127"/>
      <c r="H58" s="127"/>
    </row>
    <row r="59" spans="1:8" ht="15">
      <c r="A59" s="654" t="s">
        <v>257</v>
      </c>
      <c r="B59" s="169" t="s">
        <v>256</v>
      </c>
      <c r="C59" s="158">
        <v>1.35E-2</v>
      </c>
      <c r="D59" s="30">
        <f t="shared" si="1"/>
        <v>0</v>
      </c>
      <c r="E59" s="128"/>
      <c r="F59" s="128"/>
      <c r="G59" s="127"/>
      <c r="H59" s="127"/>
    </row>
    <row r="60" spans="1:8" ht="15">
      <c r="A60" s="655"/>
      <c r="B60" s="168" t="s">
        <v>255</v>
      </c>
      <c r="C60" s="158">
        <v>1.4999999999999999E-2</v>
      </c>
      <c r="D60" s="30">
        <f t="shared" si="1"/>
        <v>0</v>
      </c>
      <c r="E60" s="128"/>
      <c r="F60" s="128"/>
      <c r="G60" s="127"/>
      <c r="H60" s="126"/>
    </row>
    <row r="61" spans="1:8" ht="15.75" thickBot="1">
      <c r="A61" s="656"/>
      <c r="B61" s="167" t="s">
        <v>254</v>
      </c>
      <c r="C61" s="158">
        <v>1.4500000000000001E-2</v>
      </c>
      <c r="D61" s="30">
        <f t="shared" si="1"/>
        <v>0</v>
      </c>
      <c r="E61" s="128"/>
      <c r="F61" s="128"/>
      <c r="G61" s="127"/>
      <c r="H61" s="127"/>
    </row>
    <row r="62" spans="1:8" ht="15">
      <c r="A62" s="654" t="s">
        <v>253</v>
      </c>
      <c r="B62" s="169" t="s">
        <v>252</v>
      </c>
      <c r="C62" s="158">
        <v>1.2999999999999999E-2</v>
      </c>
      <c r="D62" s="30">
        <f t="shared" si="1"/>
        <v>0</v>
      </c>
      <c r="E62" s="128"/>
      <c r="F62" s="128"/>
      <c r="G62" s="127"/>
      <c r="H62" s="126"/>
    </row>
    <row r="63" spans="1:8" ht="15">
      <c r="A63" s="655"/>
      <c r="B63" s="168" t="s">
        <v>251</v>
      </c>
      <c r="C63" s="158">
        <v>1.55E-2</v>
      </c>
      <c r="D63" s="30">
        <f t="shared" si="1"/>
        <v>0</v>
      </c>
      <c r="E63" s="128"/>
      <c r="F63" s="128"/>
      <c r="G63" s="127"/>
      <c r="H63" s="126"/>
    </row>
    <row r="64" spans="1:8" ht="15">
      <c r="A64" s="655"/>
      <c r="B64" s="168" t="s">
        <v>250</v>
      </c>
      <c r="C64" s="158">
        <v>1.4E-2</v>
      </c>
      <c r="D64" s="30">
        <f t="shared" si="1"/>
        <v>0</v>
      </c>
      <c r="E64" s="128"/>
      <c r="F64" s="128"/>
      <c r="G64" s="127"/>
      <c r="H64" s="127"/>
    </row>
    <row r="65" spans="1:8" ht="15">
      <c r="A65" s="655"/>
      <c r="B65" s="168" t="s">
        <v>249</v>
      </c>
      <c r="C65" s="158">
        <v>1.35E-2</v>
      </c>
      <c r="D65" s="30">
        <f t="shared" si="1"/>
        <v>0</v>
      </c>
      <c r="E65" s="128"/>
      <c r="F65" s="128"/>
      <c r="G65" s="127"/>
      <c r="H65" s="126"/>
    </row>
    <row r="66" spans="1:8" ht="15">
      <c r="A66" s="659"/>
      <c r="B66" s="168" t="s">
        <v>248</v>
      </c>
      <c r="C66" s="158">
        <v>1.4999999999999999E-2</v>
      </c>
      <c r="D66" s="30">
        <f t="shared" si="1"/>
        <v>0</v>
      </c>
      <c r="E66" s="128"/>
      <c r="F66" s="128"/>
      <c r="G66" s="127"/>
      <c r="H66" s="126"/>
    </row>
    <row r="67" spans="1:8" ht="23.25" customHeight="1" thickBot="1">
      <c r="A67" s="656"/>
      <c r="B67" s="167" t="s">
        <v>247</v>
      </c>
      <c r="C67" s="158">
        <v>1.4500000000000001E-2</v>
      </c>
      <c r="D67" s="30">
        <f t="shared" si="1"/>
        <v>0</v>
      </c>
      <c r="E67" s="128"/>
      <c r="F67" s="128"/>
      <c r="G67" s="127"/>
      <c r="H67" s="127"/>
    </row>
    <row r="68" spans="1:8" ht="15">
      <c r="A68" s="651" t="s">
        <v>246</v>
      </c>
      <c r="B68" s="166" t="s">
        <v>245</v>
      </c>
      <c r="C68" s="158">
        <v>1.2999999999999999E-2</v>
      </c>
      <c r="D68" s="30">
        <f t="shared" si="1"/>
        <v>0</v>
      </c>
      <c r="E68" s="128"/>
      <c r="F68" s="128"/>
      <c r="G68" s="127"/>
      <c r="H68" s="127"/>
    </row>
    <row r="69" spans="1:8" ht="15">
      <c r="A69" s="652"/>
      <c r="B69" s="165" t="s">
        <v>244</v>
      </c>
      <c r="C69" s="158">
        <v>1.55E-2</v>
      </c>
      <c r="D69" s="30">
        <f t="shared" si="1"/>
        <v>0</v>
      </c>
      <c r="E69" s="128"/>
      <c r="F69" s="128"/>
      <c r="G69" s="127"/>
      <c r="H69" s="127"/>
    </row>
    <row r="70" spans="1:8" ht="15">
      <c r="A70" s="652"/>
      <c r="B70" s="165" t="s">
        <v>243</v>
      </c>
      <c r="C70" s="158">
        <v>1.4E-2</v>
      </c>
      <c r="D70" s="30">
        <f t="shared" si="1"/>
        <v>0</v>
      </c>
      <c r="E70" s="128"/>
      <c r="F70" s="128"/>
      <c r="G70" s="127"/>
      <c r="H70" s="127"/>
    </row>
    <row r="71" spans="1:8" ht="15">
      <c r="A71" s="652"/>
      <c r="B71" s="165" t="s">
        <v>242</v>
      </c>
      <c r="C71" s="158">
        <v>1.35E-2</v>
      </c>
      <c r="D71" s="30">
        <f t="shared" si="1"/>
        <v>0</v>
      </c>
      <c r="E71" s="128"/>
      <c r="F71" s="128"/>
      <c r="G71" s="127"/>
      <c r="H71" s="127"/>
    </row>
    <row r="72" spans="1:8" ht="15">
      <c r="A72" s="652"/>
      <c r="B72" s="165" t="s">
        <v>241</v>
      </c>
      <c r="C72" s="158">
        <v>1.4999999999999999E-2</v>
      </c>
      <c r="D72" s="30">
        <f t="shared" si="1"/>
        <v>0</v>
      </c>
      <c r="E72" s="128"/>
      <c r="F72" s="128"/>
      <c r="G72" s="127"/>
      <c r="H72" s="127"/>
    </row>
    <row r="73" spans="1:8" ht="15">
      <c r="A73" s="652"/>
      <c r="B73" s="165" t="s">
        <v>240</v>
      </c>
      <c r="C73" s="158">
        <v>1.4500000000000001E-2</v>
      </c>
      <c r="D73" s="30">
        <f t="shared" si="1"/>
        <v>0</v>
      </c>
      <c r="E73" s="128"/>
      <c r="F73" s="128"/>
      <c r="G73" s="127"/>
      <c r="H73" s="127"/>
    </row>
    <row r="74" spans="1:8" ht="15">
      <c r="A74" s="652"/>
      <c r="B74" s="165" t="s">
        <v>239</v>
      </c>
      <c r="C74" s="158">
        <v>1.2999999999999999E-2</v>
      </c>
      <c r="D74" s="30">
        <f t="shared" si="1"/>
        <v>0</v>
      </c>
      <c r="E74" s="128"/>
      <c r="F74" s="128"/>
      <c r="G74" s="127"/>
      <c r="H74" s="127"/>
    </row>
    <row r="75" spans="1:8" ht="15">
      <c r="A75" s="652"/>
      <c r="B75" s="165" t="s">
        <v>238</v>
      </c>
      <c r="C75" s="158">
        <v>1.55E-2</v>
      </c>
      <c r="D75" s="30">
        <f t="shared" si="1"/>
        <v>0</v>
      </c>
      <c r="E75" s="128"/>
      <c r="F75" s="128"/>
      <c r="G75" s="127"/>
      <c r="H75" s="127"/>
    </row>
    <row r="76" spans="1:8" ht="15">
      <c r="A76" s="652"/>
      <c r="B76" s="165" t="s">
        <v>237</v>
      </c>
      <c r="C76" s="158">
        <v>1.4E-2</v>
      </c>
      <c r="D76" s="30">
        <f t="shared" si="1"/>
        <v>0</v>
      </c>
      <c r="E76" s="128"/>
      <c r="F76" s="128"/>
      <c r="G76" s="127"/>
      <c r="H76" s="127"/>
    </row>
    <row r="77" spans="1:8" ht="15">
      <c r="A77" s="652"/>
      <c r="B77" s="165" t="s">
        <v>236</v>
      </c>
      <c r="C77" s="158">
        <v>1.35E-2</v>
      </c>
      <c r="D77" s="30">
        <f t="shared" si="1"/>
        <v>0</v>
      </c>
      <c r="E77" s="128"/>
      <c r="F77" s="128"/>
      <c r="G77" s="127"/>
      <c r="H77" s="127"/>
    </row>
    <row r="78" spans="1:8" ht="15">
      <c r="A78" s="652"/>
      <c r="B78" s="165" t="s">
        <v>235</v>
      </c>
      <c r="C78" s="158">
        <v>1.4999999999999999E-2</v>
      </c>
      <c r="D78" s="30">
        <f t="shared" si="1"/>
        <v>0</v>
      </c>
      <c r="E78" s="128"/>
      <c r="F78" s="128"/>
      <c r="G78" s="127"/>
      <c r="H78" s="127"/>
    </row>
    <row r="79" spans="1:8" ht="21.75" customHeight="1" thickBot="1">
      <c r="A79" s="653"/>
      <c r="B79" s="165" t="s">
        <v>234</v>
      </c>
      <c r="C79" s="158">
        <v>1.4500000000000001E-2</v>
      </c>
      <c r="D79" s="30">
        <f t="shared" si="1"/>
        <v>0</v>
      </c>
      <c r="E79" s="128"/>
      <c r="F79" s="128"/>
      <c r="G79" s="127"/>
      <c r="H79" s="127"/>
    </row>
    <row r="80" spans="1:8" ht="15.75" customHeight="1" thickBot="1">
      <c r="A80" s="660" t="s">
        <v>233</v>
      </c>
      <c r="B80" s="165" t="s">
        <v>232</v>
      </c>
      <c r="C80" s="158">
        <v>1.2999999999999999E-2</v>
      </c>
      <c r="D80" s="30">
        <f t="shared" si="1"/>
        <v>0</v>
      </c>
      <c r="E80" s="128"/>
      <c r="F80" s="128"/>
      <c r="G80" s="127"/>
      <c r="H80" s="127"/>
    </row>
    <row r="81" spans="1:505" ht="15">
      <c r="A81" s="661"/>
      <c r="B81" s="164" t="s">
        <v>231</v>
      </c>
      <c r="C81" s="158">
        <v>1.52E-2</v>
      </c>
      <c r="D81" s="30">
        <f t="shared" ref="D81:D112" si="2">IF(COUNTA(E81:G81)&gt;1, "PORFAVOR MARQUE UNA SOLA OPCION", IF(OR(E81&lt;&gt;"", G81&lt;&gt;""), C81, IF(F81&lt;&gt;"", 0, 0)))</f>
        <v>0</v>
      </c>
      <c r="E81" s="128"/>
      <c r="F81" s="128"/>
      <c r="G81" s="127"/>
      <c r="H81" s="163"/>
    </row>
    <row r="82" spans="1:505" ht="15">
      <c r="A82" s="661"/>
      <c r="B82" s="162" t="s">
        <v>230</v>
      </c>
      <c r="C82" s="158">
        <v>1.4E-2</v>
      </c>
      <c r="D82" s="30">
        <f t="shared" si="2"/>
        <v>0</v>
      </c>
      <c r="E82" s="128"/>
      <c r="F82" s="128"/>
      <c r="G82" s="127"/>
      <c r="H82" s="127"/>
    </row>
    <row r="83" spans="1:505" ht="15">
      <c r="A83" s="661"/>
      <c r="B83" s="162" t="s">
        <v>229</v>
      </c>
      <c r="C83" s="158">
        <v>1.35E-2</v>
      </c>
      <c r="D83" s="30">
        <f t="shared" si="2"/>
        <v>0</v>
      </c>
      <c r="E83" s="128"/>
      <c r="F83" s="128"/>
      <c r="G83" s="127"/>
      <c r="H83" s="159"/>
    </row>
    <row r="84" spans="1:505" ht="15">
      <c r="A84" s="661"/>
      <c r="B84" s="161" t="s">
        <v>228</v>
      </c>
      <c r="C84" s="160">
        <v>1.4999999999999999E-2</v>
      </c>
      <c r="D84" s="30">
        <f t="shared" si="2"/>
        <v>0</v>
      </c>
      <c r="E84" s="128"/>
      <c r="F84" s="128"/>
      <c r="G84" s="127"/>
      <c r="H84" s="159"/>
    </row>
    <row r="85" spans="1:505" ht="15">
      <c r="A85" s="128"/>
      <c r="B85" s="127" t="s">
        <v>227</v>
      </c>
      <c r="C85" s="158">
        <v>1.4500000000000001E-2</v>
      </c>
      <c r="D85" s="30">
        <f t="shared" si="2"/>
        <v>0</v>
      </c>
      <c r="E85" s="128"/>
      <c r="F85" s="128"/>
      <c r="G85" s="127"/>
      <c r="H85" s="126"/>
    </row>
    <row r="86" spans="1:505" ht="15">
      <c r="A86" s="128"/>
      <c r="B86" s="127" t="s">
        <v>226</v>
      </c>
      <c r="C86" s="158">
        <v>1.55E-2</v>
      </c>
      <c r="D86" s="30">
        <f t="shared" si="2"/>
        <v>0</v>
      </c>
      <c r="E86" s="128"/>
      <c r="F86" s="128"/>
      <c r="G86" s="127"/>
      <c r="H86" s="126"/>
    </row>
    <row r="87" spans="1:505" customFormat="1" ht="15">
      <c r="A87" s="657" t="s">
        <v>14</v>
      </c>
      <c r="B87" s="657"/>
      <c r="C87" s="121">
        <f>SUM(C17:C86)</f>
        <v>0.99999999999999978</v>
      </c>
      <c r="D87" s="175"/>
      <c r="E87" s="22">
        <f>COUNT(E17:E86)</f>
        <v>0</v>
      </c>
      <c r="F87" s="22">
        <f>COUNT(F17:F86)</f>
        <v>0</v>
      </c>
      <c r="G87" s="22">
        <f>COUNT(G17:G86)</f>
        <v>0</v>
      </c>
      <c r="H87" s="116"/>
    </row>
    <row r="88" spans="1:505" s="12" customFormat="1" ht="15">
      <c r="A88" s="657"/>
      <c r="B88" s="657"/>
      <c r="C88" s="110"/>
      <c r="D88" s="110"/>
      <c r="E88" s="658">
        <f>IFERROR((E87/((E87+F87+G87)-G87)),0)</f>
        <v>0</v>
      </c>
      <c r="F88" s="658"/>
      <c r="G88" s="658"/>
      <c r="H88" s="124"/>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row>
    <row r="89" spans="1:505" customFormat="1" ht="15">
      <c r="A89" s="107"/>
      <c r="B89" s="107"/>
      <c r="C89" s="107"/>
      <c r="D89" s="107"/>
      <c r="E89" s="157"/>
      <c r="F89" s="157"/>
      <c r="G89" s="157"/>
      <c r="H89" s="156"/>
      <c r="I89" s="34"/>
    </row>
    <row r="90" spans="1:505" customFormat="1" ht="15">
      <c r="A90" s="107"/>
      <c r="B90" s="107"/>
      <c r="C90" s="107"/>
      <c r="D90" s="107"/>
      <c r="E90" s="157"/>
      <c r="F90" s="157"/>
      <c r="G90" s="157"/>
      <c r="H90" s="156"/>
    </row>
    <row r="91" spans="1:505" customFormat="1" ht="15.75">
      <c r="A91" s="155" t="s">
        <v>20</v>
      </c>
      <c r="B91" s="16" t="s">
        <v>15</v>
      </c>
      <c r="C91" s="16"/>
      <c r="D91" s="16"/>
      <c r="E91" s="16"/>
      <c r="F91" s="16"/>
      <c r="G91" s="16"/>
      <c r="H91" s="12"/>
    </row>
    <row r="92" spans="1:505" customFormat="1" ht="15.75">
      <c r="A92" s="154" t="s">
        <v>21</v>
      </c>
      <c r="B92" s="475" t="s">
        <v>22</v>
      </c>
      <c r="C92" s="475"/>
      <c r="D92" s="475"/>
      <c r="E92" s="475"/>
      <c r="F92" s="475"/>
      <c r="G92" s="475"/>
      <c r="H92" s="475"/>
    </row>
    <row r="93" spans="1:505" customFormat="1" ht="15.75">
      <c r="A93" s="18" t="s">
        <v>23</v>
      </c>
      <c r="B93" s="475" t="s">
        <v>16</v>
      </c>
      <c r="C93" s="475"/>
      <c r="D93" s="475"/>
      <c r="E93" s="475"/>
      <c r="F93" s="475"/>
      <c r="G93" s="475"/>
      <c r="H93" s="475"/>
    </row>
    <row r="94" spans="1:505" customFormat="1" ht="15.75">
      <c r="A94" s="19" t="s">
        <v>17</v>
      </c>
      <c r="B94" s="475" t="s">
        <v>18</v>
      </c>
      <c r="C94" s="475"/>
      <c r="D94" s="475"/>
      <c r="E94" s="475"/>
      <c r="F94" s="475"/>
      <c r="G94" s="475"/>
      <c r="H94" s="475"/>
    </row>
    <row r="105" spans="2:2">
      <c r="B105" s="34" t="s">
        <v>225</v>
      </c>
    </row>
    <row r="106" spans="2:2">
      <c r="B106" s="34" t="s">
        <v>224</v>
      </c>
    </row>
  </sheetData>
  <mergeCells count="25">
    <mergeCell ref="E1:G1"/>
    <mergeCell ref="B3:G4"/>
    <mergeCell ref="E7:G7"/>
    <mergeCell ref="A87:B88"/>
    <mergeCell ref="E88:G88"/>
    <mergeCell ref="A59:A61"/>
    <mergeCell ref="A62:A67"/>
    <mergeCell ref="A80:A84"/>
    <mergeCell ref="B94:H94"/>
    <mergeCell ref="A13:B13"/>
    <mergeCell ref="E13:H13"/>
    <mergeCell ref="A14:B16"/>
    <mergeCell ref="E15:G15"/>
    <mergeCell ref="A28:A32"/>
    <mergeCell ref="A33:A39"/>
    <mergeCell ref="A40:A51"/>
    <mergeCell ref="A52:A53"/>
    <mergeCell ref="A54:A58"/>
    <mergeCell ref="B92:H92"/>
    <mergeCell ref="B93:H93"/>
    <mergeCell ref="A68:A79"/>
    <mergeCell ref="A17:A23"/>
    <mergeCell ref="A24:A27"/>
    <mergeCell ref="C13:C16"/>
    <mergeCell ref="D13:D16"/>
  </mergeCells>
  <conditionalFormatting sqref="E88:G90">
    <cfRule type="colorScale" priority="5">
      <colorScale>
        <cfvo type="num" val="0.5"/>
        <cfvo type="num" val="0.7"/>
        <cfvo type="num" val="1"/>
        <color rgb="FFFF0000"/>
        <color rgb="FFFFEB84"/>
        <color theme="9" tint="-0.249977111117893"/>
      </colorScale>
    </cfRule>
  </conditionalFormatting>
  <conditionalFormatting sqref="D17:D86">
    <cfRule type="cellIs" dxfId="11" priority="1" operator="equal">
      <formula>0</formula>
    </cfRule>
    <cfRule type="containsText" dxfId="10" priority="2" operator="containsText" text="PORFAVOR MARQUE UNA SOLA OPCION">
      <formula>NOT(ISERROR(SEARCH("PORFAVOR MARQUE UNA SOLA OPCION",D17)))</formula>
    </cfRule>
    <cfRule type="cellIs" dxfId="9" priority="3" operator="greaterThan">
      <formula>0</formula>
    </cfRule>
  </conditionalFormatting>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87E7-1789-45EB-8AE1-6F93254C7365}">
  <dimension ref="A1:BW72"/>
  <sheetViews>
    <sheetView topLeftCell="A54" zoomScale="80" zoomScaleNormal="80" workbookViewId="0">
      <selection activeCell="F65" sqref="F65"/>
    </sheetView>
  </sheetViews>
  <sheetFormatPr baseColWidth="10" defaultColWidth="11.5" defaultRowHeight="14.25"/>
  <cols>
    <col min="1" max="1" width="37" style="33" customWidth="1"/>
    <col min="2" max="2" width="83.875" customWidth="1"/>
    <col min="3" max="4" width="14.5" customWidth="1"/>
    <col min="5" max="5" width="21.125" style="33" customWidth="1"/>
    <col min="6" max="6" width="22.875" style="33" customWidth="1"/>
    <col min="7" max="7" width="14.5" style="34" customWidth="1"/>
    <col min="8" max="8" width="20.875" style="34" customWidth="1"/>
    <col min="9" max="16384" width="11.5" style="34"/>
  </cols>
  <sheetData>
    <row r="1" spans="1:8">
      <c r="E1" s="621"/>
      <c r="F1" s="621"/>
      <c r="G1" s="621"/>
    </row>
    <row r="2" spans="1:8">
      <c r="E2" s="35"/>
      <c r="F2" s="35"/>
      <c r="G2" s="35"/>
    </row>
    <row r="3" spans="1:8">
      <c r="B3" s="568" t="s">
        <v>26</v>
      </c>
      <c r="C3" s="568"/>
      <c r="D3" s="568"/>
      <c r="E3" s="568"/>
      <c r="F3" s="568"/>
      <c r="G3" s="568"/>
    </row>
    <row r="4" spans="1:8">
      <c r="B4" s="568"/>
      <c r="C4" s="568"/>
      <c r="D4" s="568"/>
      <c r="E4" s="568"/>
      <c r="F4" s="568"/>
      <c r="G4" s="568"/>
    </row>
    <row r="5" spans="1:8" customFormat="1">
      <c r="A5" s="1"/>
      <c r="E5" s="1"/>
    </row>
    <row r="6" spans="1:8" customFormat="1">
      <c r="A6" s="1"/>
      <c r="E6" s="1"/>
    </row>
    <row r="7" spans="1:8" customFormat="1" ht="30.75" customHeight="1">
      <c r="A7" s="2" t="s">
        <v>1</v>
      </c>
      <c r="B7" s="3"/>
      <c r="C7" s="28"/>
      <c r="D7" s="28"/>
      <c r="E7" s="569" t="s">
        <v>2</v>
      </c>
      <c r="F7" s="570"/>
      <c r="G7" s="571"/>
    </row>
    <row r="8" spans="1:8" customFormat="1" ht="30.75" customHeight="1">
      <c r="A8" s="2" t="s">
        <v>3</v>
      </c>
      <c r="B8" s="4"/>
      <c r="C8" s="4"/>
      <c r="D8" s="4"/>
      <c r="E8" s="5" t="s">
        <v>4</v>
      </c>
      <c r="F8" s="5" t="s">
        <v>5</v>
      </c>
      <c r="G8" s="5" t="s">
        <v>6</v>
      </c>
    </row>
    <row r="9" spans="1:8" customFormat="1" ht="30.75" customHeight="1">
      <c r="A9" s="2" t="s">
        <v>7</v>
      </c>
      <c r="B9" s="3"/>
      <c r="C9" s="3"/>
      <c r="D9" s="3"/>
      <c r="E9" s="6">
        <v>1</v>
      </c>
      <c r="F9" s="7">
        <v>0</v>
      </c>
      <c r="G9" s="5">
        <v>1</v>
      </c>
    </row>
    <row r="10" spans="1:8" customFormat="1">
      <c r="A10" s="1"/>
      <c r="E10" s="1"/>
      <c r="F10" s="153"/>
      <c r="G10" s="14"/>
      <c r="H10" s="13"/>
    </row>
    <row r="11" spans="1:8" ht="15.75">
      <c r="E11" s="641"/>
      <c r="F11" s="642"/>
      <c r="G11" s="642"/>
      <c r="H11" s="643"/>
    </row>
    <row r="12" spans="1:8" ht="15.75">
      <c r="E12" s="648"/>
      <c r="F12" s="642"/>
      <c r="G12" s="642"/>
      <c r="H12" s="649"/>
    </row>
    <row r="13" spans="1:8" ht="20.25">
      <c r="A13" s="650" t="s">
        <v>362</v>
      </c>
      <c r="B13" s="650"/>
      <c r="C13" s="636" t="s">
        <v>24</v>
      </c>
      <c r="D13" s="636" t="s">
        <v>25</v>
      </c>
      <c r="E13" s="648" t="s">
        <v>361</v>
      </c>
      <c r="F13" s="642"/>
      <c r="G13" s="642"/>
      <c r="H13" s="649"/>
    </row>
    <row r="14" spans="1:8" ht="30" customHeight="1">
      <c r="A14" s="644" t="s">
        <v>8</v>
      </c>
      <c r="B14" s="644"/>
      <c r="C14" s="637"/>
      <c r="D14" s="637"/>
      <c r="E14" s="9"/>
      <c r="F14" s="9"/>
      <c r="G14" s="10"/>
      <c r="H14" s="10"/>
    </row>
    <row r="15" spans="1:8" ht="18.75" customHeight="1">
      <c r="A15" s="644"/>
      <c r="B15" s="644"/>
      <c r="C15" s="637"/>
      <c r="D15" s="637"/>
      <c r="E15" s="645" t="s">
        <v>2</v>
      </c>
      <c r="F15" s="645"/>
      <c r="G15" s="645"/>
      <c r="H15" s="646" t="s">
        <v>0</v>
      </c>
    </row>
    <row r="16" spans="1:8" ht="21.75" customHeight="1">
      <c r="A16" s="644"/>
      <c r="B16" s="644"/>
      <c r="C16" s="638"/>
      <c r="D16" s="638"/>
      <c r="E16" s="8" t="s">
        <v>13</v>
      </c>
      <c r="F16" s="8" t="s">
        <v>5</v>
      </c>
      <c r="G16" s="8" t="s">
        <v>6</v>
      </c>
      <c r="H16" s="647"/>
    </row>
    <row r="17" spans="1:8" ht="42.75">
      <c r="A17" s="639" t="s">
        <v>360</v>
      </c>
      <c r="B17" s="192" t="s">
        <v>359</v>
      </c>
      <c r="C17" s="158">
        <v>1.7299999999999999E-2</v>
      </c>
      <c r="D17" s="30">
        <f t="shared" ref="D17:D64" si="0">IF(COUNTA(E17:G17)&gt;1, "PORFAVOR MARQUE UNA SOLA OPCION", IF(OR(E17&lt;&gt;"", G17&lt;&gt;""), C17, IF(F17&lt;&gt;"", 0, 0)))</f>
        <v>0</v>
      </c>
      <c r="E17" s="128"/>
      <c r="F17" s="128"/>
      <c r="G17" s="127"/>
      <c r="H17" s="127"/>
    </row>
    <row r="18" spans="1:8" ht="36" customHeight="1">
      <c r="A18" s="639"/>
      <c r="B18" s="191" t="s">
        <v>358</v>
      </c>
      <c r="C18" s="158">
        <v>1.7299999999999999E-2</v>
      </c>
      <c r="D18" s="30">
        <f t="shared" si="0"/>
        <v>0</v>
      </c>
      <c r="E18" s="128"/>
      <c r="F18" s="128"/>
      <c r="G18" s="127"/>
      <c r="H18" s="127"/>
    </row>
    <row r="19" spans="1:8" ht="29.25" customHeight="1">
      <c r="A19" s="639"/>
      <c r="B19" s="180" t="s">
        <v>357</v>
      </c>
      <c r="C19" s="158">
        <v>4.0500000000000001E-2</v>
      </c>
      <c r="D19" s="30">
        <f t="shared" si="0"/>
        <v>0</v>
      </c>
      <c r="E19" s="128"/>
      <c r="F19" s="128"/>
      <c r="G19" s="127"/>
      <c r="H19" s="127"/>
    </row>
    <row r="20" spans="1:8" ht="15.75" customHeight="1">
      <c r="A20" s="639"/>
      <c r="B20" s="188" t="s">
        <v>356</v>
      </c>
      <c r="C20" s="158">
        <v>4.0500000000000001E-2</v>
      </c>
      <c r="D20" s="30">
        <f t="shared" si="0"/>
        <v>0</v>
      </c>
      <c r="E20" s="128"/>
      <c r="F20" s="128"/>
      <c r="G20" s="127"/>
      <c r="H20" s="127"/>
    </row>
    <row r="21" spans="1:8" ht="21.75" customHeight="1">
      <c r="A21" s="578" t="s">
        <v>355</v>
      </c>
      <c r="B21" s="144" t="s">
        <v>354</v>
      </c>
      <c r="C21" s="158">
        <v>1.1599999999999999E-2</v>
      </c>
      <c r="D21" s="30">
        <f t="shared" si="0"/>
        <v>0</v>
      </c>
      <c r="E21" s="128"/>
      <c r="F21" s="128"/>
      <c r="G21" s="127"/>
      <c r="H21" s="127"/>
    </row>
    <row r="22" spans="1:8" ht="31.5" customHeight="1">
      <c r="A22" s="578"/>
      <c r="B22" s="144" t="s">
        <v>216</v>
      </c>
      <c r="C22" s="158">
        <v>1.1599999999999999E-2</v>
      </c>
      <c r="D22" s="30">
        <f t="shared" si="0"/>
        <v>0</v>
      </c>
      <c r="E22" s="128"/>
      <c r="F22" s="128"/>
      <c r="G22" s="127"/>
      <c r="H22" s="127"/>
    </row>
    <row r="23" spans="1:8" ht="15.75" customHeight="1">
      <c r="A23" s="578"/>
      <c r="B23" s="145" t="s">
        <v>353</v>
      </c>
      <c r="C23" s="158">
        <v>1.7299999999999999E-2</v>
      </c>
      <c r="D23" s="30">
        <f t="shared" si="0"/>
        <v>0</v>
      </c>
      <c r="E23" s="128"/>
      <c r="F23" s="128"/>
      <c r="G23" s="127"/>
      <c r="H23" s="127"/>
    </row>
    <row r="24" spans="1:8" ht="18" customHeight="1">
      <c r="A24" s="578"/>
      <c r="B24" s="145" t="s">
        <v>352</v>
      </c>
      <c r="C24" s="158">
        <v>1.7299999999999999E-2</v>
      </c>
      <c r="D24" s="30">
        <f t="shared" si="0"/>
        <v>0</v>
      </c>
      <c r="E24" s="128"/>
      <c r="F24" s="128"/>
      <c r="G24" s="127"/>
      <c r="H24" s="127"/>
    </row>
    <row r="25" spans="1:8" ht="18.75" customHeight="1">
      <c r="A25" s="578"/>
      <c r="B25" s="144" t="s">
        <v>351</v>
      </c>
      <c r="C25" s="158">
        <v>2.1100000000000001E-2</v>
      </c>
      <c r="D25" s="30">
        <f t="shared" si="0"/>
        <v>0</v>
      </c>
      <c r="E25" s="128"/>
      <c r="F25" s="128"/>
      <c r="G25" s="127"/>
      <c r="H25" s="127"/>
    </row>
    <row r="26" spans="1:8" ht="80.25" customHeight="1">
      <c r="A26" s="578"/>
      <c r="B26" s="144" t="s">
        <v>350</v>
      </c>
      <c r="C26" s="158">
        <v>3.4700000000000002E-2</v>
      </c>
      <c r="D26" s="30">
        <f t="shared" si="0"/>
        <v>0</v>
      </c>
      <c r="E26" s="128"/>
      <c r="F26" s="128"/>
      <c r="G26" s="127"/>
      <c r="H26" s="127"/>
    </row>
    <row r="27" spans="1:8" ht="24" customHeight="1">
      <c r="A27" s="639" t="s">
        <v>349</v>
      </c>
      <c r="B27" s="190" t="s">
        <v>348</v>
      </c>
      <c r="C27" s="158">
        <v>1.7299999999999999E-2</v>
      </c>
      <c r="D27" s="30">
        <f t="shared" si="0"/>
        <v>0</v>
      </c>
      <c r="E27" s="128"/>
      <c r="F27" s="128"/>
      <c r="G27" s="127"/>
      <c r="H27" s="127"/>
    </row>
    <row r="28" spans="1:8" ht="20.25" customHeight="1">
      <c r="A28" s="639"/>
      <c r="B28" s="189" t="s">
        <v>347</v>
      </c>
      <c r="C28" s="158">
        <v>1.6199999999999999E-2</v>
      </c>
      <c r="D28" s="30">
        <f t="shared" si="0"/>
        <v>0</v>
      </c>
      <c r="E28" s="128"/>
      <c r="F28" s="128"/>
      <c r="G28" s="127"/>
      <c r="H28" s="127"/>
    </row>
    <row r="29" spans="1:8" ht="15">
      <c r="A29" s="639"/>
      <c r="B29" s="189" t="s">
        <v>346</v>
      </c>
      <c r="C29" s="158">
        <v>1.6199999999999999E-2</v>
      </c>
      <c r="D29" s="30">
        <f t="shared" si="0"/>
        <v>0</v>
      </c>
      <c r="E29" s="128"/>
      <c r="F29" s="128"/>
      <c r="G29" s="127"/>
      <c r="H29" s="127"/>
    </row>
    <row r="30" spans="1:8" ht="15">
      <c r="A30" s="639"/>
      <c r="B30" s="189" t="s">
        <v>345</v>
      </c>
      <c r="C30" s="158">
        <v>1.6199999999999999E-2</v>
      </c>
      <c r="D30" s="30">
        <f t="shared" si="0"/>
        <v>0</v>
      </c>
      <c r="E30" s="128"/>
      <c r="F30" s="128"/>
      <c r="G30" s="139"/>
      <c r="H30" s="127"/>
    </row>
    <row r="31" spans="1:8" ht="15">
      <c r="A31" s="639"/>
      <c r="B31" s="189" t="s">
        <v>344</v>
      </c>
      <c r="C31" s="158">
        <v>1.7299999999999999E-2</v>
      </c>
      <c r="D31" s="30">
        <f t="shared" si="0"/>
        <v>0</v>
      </c>
      <c r="E31" s="128"/>
      <c r="F31" s="128"/>
      <c r="G31" s="126"/>
      <c r="H31" s="127"/>
    </row>
    <row r="32" spans="1:8" ht="15">
      <c r="A32" s="639"/>
      <c r="B32" s="189" t="s">
        <v>343</v>
      </c>
      <c r="C32" s="158">
        <v>1.6199999999999999E-2</v>
      </c>
      <c r="D32" s="30">
        <f t="shared" si="0"/>
        <v>0</v>
      </c>
      <c r="E32" s="128"/>
      <c r="F32" s="128"/>
      <c r="G32" s="126"/>
      <c r="H32" s="127"/>
    </row>
    <row r="33" spans="1:8" ht="15">
      <c r="A33" s="639"/>
      <c r="B33" s="189" t="s">
        <v>342</v>
      </c>
      <c r="C33" s="158">
        <v>1.6199999999999999E-2</v>
      </c>
      <c r="D33" s="30">
        <f t="shared" si="0"/>
        <v>0</v>
      </c>
      <c r="E33" s="128"/>
      <c r="F33" s="128"/>
      <c r="G33" s="127"/>
      <c r="H33" s="127"/>
    </row>
    <row r="34" spans="1:8" ht="31.5" customHeight="1">
      <c r="A34" s="639" t="s">
        <v>341</v>
      </c>
      <c r="B34" s="188" t="s">
        <v>340</v>
      </c>
      <c r="C34" s="158">
        <v>1.04E-2</v>
      </c>
      <c r="D34" s="30">
        <f t="shared" si="0"/>
        <v>0</v>
      </c>
      <c r="E34" s="128"/>
      <c r="F34" s="186"/>
      <c r="G34" s="127"/>
      <c r="H34" s="127"/>
    </row>
    <row r="35" spans="1:8" ht="48" customHeight="1">
      <c r="A35" s="639"/>
      <c r="B35" s="188" t="s">
        <v>339</v>
      </c>
      <c r="C35" s="158">
        <v>1.04E-2</v>
      </c>
      <c r="D35" s="30">
        <f t="shared" si="0"/>
        <v>0</v>
      </c>
      <c r="E35" s="128"/>
      <c r="F35" s="186"/>
      <c r="G35" s="127"/>
      <c r="H35" s="127"/>
    </row>
    <row r="36" spans="1:8" ht="18" customHeight="1">
      <c r="A36" s="639"/>
      <c r="B36" s="188" t="s">
        <v>338</v>
      </c>
      <c r="C36" s="158">
        <v>1.04E-2</v>
      </c>
      <c r="D36" s="30">
        <f t="shared" si="0"/>
        <v>0</v>
      </c>
      <c r="E36" s="128"/>
      <c r="F36" s="186"/>
      <c r="G36" s="127"/>
      <c r="H36" s="127"/>
    </row>
    <row r="37" spans="1:8" ht="45.75" customHeight="1">
      <c r="A37" s="639"/>
      <c r="B37" s="188" t="s">
        <v>337</v>
      </c>
      <c r="C37" s="158">
        <v>1.04E-2</v>
      </c>
      <c r="D37" s="30">
        <f t="shared" si="0"/>
        <v>0</v>
      </c>
      <c r="E37" s="128"/>
      <c r="F37" s="186"/>
      <c r="G37" s="127"/>
      <c r="H37" s="127"/>
    </row>
    <row r="38" spans="1:8" ht="20.25" customHeight="1">
      <c r="A38" s="639"/>
      <c r="B38" s="188" t="s">
        <v>336</v>
      </c>
      <c r="C38" s="158">
        <v>1.04E-2</v>
      </c>
      <c r="D38" s="30">
        <f t="shared" si="0"/>
        <v>0</v>
      </c>
      <c r="E38" s="128"/>
      <c r="F38" s="186"/>
      <c r="G38" s="127"/>
      <c r="H38" s="127"/>
    </row>
    <row r="39" spans="1:8" ht="19.5" customHeight="1">
      <c r="A39" s="639"/>
      <c r="B39" s="188" t="s">
        <v>335</v>
      </c>
      <c r="C39" s="158">
        <v>1.04E-2</v>
      </c>
      <c r="D39" s="30">
        <f t="shared" si="0"/>
        <v>0</v>
      </c>
      <c r="E39" s="128"/>
      <c r="F39" s="186"/>
      <c r="G39" s="127"/>
      <c r="H39" s="127"/>
    </row>
    <row r="40" spans="1:8" ht="76.5" customHeight="1">
      <c r="A40" s="639"/>
      <c r="B40" s="188" t="s">
        <v>334</v>
      </c>
      <c r="C40" s="158">
        <v>1.04E-2</v>
      </c>
      <c r="D40" s="30">
        <f t="shared" si="0"/>
        <v>0</v>
      </c>
      <c r="E40" s="128"/>
      <c r="F40" s="186"/>
      <c r="G40" s="127"/>
      <c r="H40" s="127"/>
    </row>
    <row r="41" spans="1:8" ht="29.25" customHeight="1">
      <c r="A41" s="639"/>
      <c r="B41" s="188" t="s">
        <v>333</v>
      </c>
      <c r="C41" s="158">
        <v>1.04E-2</v>
      </c>
      <c r="D41" s="30">
        <f t="shared" si="0"/>
        <v>0</v>
      </c>
      <c r="E41" s="128"/>
      <c r="F41" s="186"/>
      <c r="G41" s="127"/>
      <c r="H41" s="127"/>
    </row>
    <row r="42" spans="1:8" ht="32.25" customHeight="1">
      <c r="A42" s="639"/>
      <c r="B42" s="188" t="s">
        <v>332</v>
      </c>
      <c r="C42" s="158">
        <v>1.04E-2</v>
      </c>
      <c r="D42" s="30">
        <f t="shared" si="0"/>
        <v>0</v>
      </c>
      <c r="E42" s="128"/>
      <c r="F42" s="186"/>
      <c r="G42" s="127"/>
      <c r="H42" s="127"/>
    </row>
    <row r="43" spans="1:8" ht="100.5" customHeight="1">
      <c r="A43" s="639"/>
      <c r="B43" s="187" t="s">
        <v>331</v>
      </c>
      <c r="C43" s="158">
        <v>1.1599999999999999E-2</v>
      </c>
      <c r="D43" s="30">
        <f t="shared" si="0"/>
        <v>0</v>
      </c>
      <c r="E43" s="128"/>
      <c r="F43" s="186"/>
      <c r="G43" s="127"/>
      <c r="H43" s="127"/>
    </row>
    <row r="44" spans="1:8" ht="26.25" customHeight="1">
      <c r="A44" s="639"/>
      <c r="B44" s="179" t="s">
        <v>330</v>
      </c>
      <c r="C44" s="158">
        <v>1.04E-2</v>
      </c>
      <c r="D44" s="30">
        <f t="shared" si="0"/>
        <v>0</v>
      </c>
      <c r="E44" s="128"/>
      <c r="F44" s="128"/>
      <c r="G44" s="20"/>
      <c r="H44" s="127"/>
    </row>
    <row r="45" spans="1:8" ht="36.75" customHeight="1">
      <c r="A45" s="639" t="s">
        <v>329</v>
      </c>
      <c r="B45" s="181" t="s">
        <v>328</v>
      </c>
      <c r="C45" s="158">
        <v>2.3099999999999999E-2</v>
      </c>
      <c r="D45" s="30">
        <f t="shared" si="0"/>
        <v>0</v>
      </c>
      <c r="E45" s="128"/>
      <c r="F45" s="128"/>
      <c r="G45" s="20"/>
      <c r="H45" s="127"/>
    </row>
    <row r="46" spans="1:8" ht="50.25" customHeight="1">
      <c r="A46" s="639"/>
      <c r="B46" s="185" t="s">
        <v>327</v>
      </c>
      <c r="C46" s="158">
        <v>2.3099999999999999E-2</v>
      </c>
      <c r="D46" s="30">
        <f t="shared" si="0"/>
        <v>0</v>
      </c>
      <c r="E46" s="128"/>
      <c r="F46" s="128"/>
      <c r="G46" s="20"/>
      <c r="H46" s="127"/>
    </row>
    <row r="47" spans="1:8" ht="26.25" customHeight="1">
      <c r="A47" s="639"/>
      <c r="B47" s="184" t="s">
        <v>326</v>
      </c>
      <c r="C47" s="158">
        <v>2.3099999999999999E-2</v>
      </c>
      <c r="D47" s="30">
        <f t="shared" si="0"/>
        <v>0</v>
      </c>
      <c r="E47" s="128"/>
      <c r="F47" s="128"/>
      <c r="G47" s="20"/>
      <c r="H47" s="127"/>
    </row>
    <row r="48" spans="1:8" ht="15" customHeight="1">
      <c r="A48" s="639"/>
      <c r="B48" s="181" t="s">
        <v>325</v>
      </c>
      <c r="C48" s="158">
        <v>2.3099999999999999E-2</v>
      </c>
      <c r="D48" s="30">
        <f t="shared" si="0"/>
        <v>0</v>
      </c>
      <c r="E48" s="128"/>
      <c r="F48" s="128"/>
      <c r="G48" s="20"/>
      <c r="H48" s="127"/>
    </row>
    <row r="49" spans="1:8" ht="18.75" customHeight="1">
      <c r="A49" s="639"/>
      <c r="B49" s="184" t="s">
        <v>324</v>
      </c>
      <c r="C49" s="158">
        <v>2.3099999999999999E-2</v>
      </c>
      <c r="D49" s="30">
        <f t="shared" si="0"/>
        <v>0</v>
      </c>
      <c r="E49" s="128"/>
      <c r="F49" s="128"/>
      <c r="G49" s="20"/>
      <c r="H49" s="127"/>
    </row>
    <row r="50" spans="1:8" ht="35.25" customHeight="1">
      <c r="A50" s="113" t="s">
        <v>19</v>
      </c>
      <c r="B50" s="183" t="s">
        <v>323</v>
      </c>
      <c r="C50" s="158">
        <v>0.11559999999999999</v>
      </c>
      <c r="D50" s="30">
        <f t="shared" si="0"/>
        <v>0</v>
      </c>
      <c r="E50" s="128"/>
      <c r="F50" s="128"/>
      <c r="G50" s="20"/>
      <c r="H50" s="127"/>
    </row>
    <row r="51" spans="1:8" ht="23.25" customHeight="1">
      <c r="A51" s="640" t="s">
        <v>180</v>
      </c>
      <c r="B51" s="181" t="s">
        <v>322</v>
      </c>
      <c r="C51" s="158">
        <v>1.9699999999999999E-2</v>
      </c>
      <c r="D51" s="30">
        <f t="shared" si="0"/>
        <v>0</v>
      </c>
      <c r="E51" s="128"/>
      <c r="F51" s="128"/>
      <c r="G51" s="20"/>
      <c r="H51" s="127"/>
    </row>
    <row r="52" spans="1:8" ht="45.75" customHeight="1">
      <c r="A52" s="640"/>
      <c r="B52" s="182" t="s">
        <v>321</v>
      </c>
      <c r="C52" s="158">
        <v>2.4299999999999999E-2</v>
      </c>
      <c r="D52" s="30">
        <f t="shared" si="0"/>
        <v>0</v>
      </c>
      <c r="E52" s="128"/>
      <c r="F52" s="128"/>
      <c r="G52" s="127"/>
      <c r="H52" s="127"/>
    </row>
    <row r="53" spans="1:8" ht="147.75" customHeight="1">
      <c r="A53" s="640"/>
      <c r="B53" s="181" t="s">
        <v>320</v>
      </c>
      <c r="C53" s="158">
        <v>2.8899999999999999E-2</v>
      </c>
      <c r="D53" s="30">
        <f t="shared" si="0"/>
        <v>0</v>
      </c>
      <c r="E53" s="128"/>
      <c r="F53" s="128"/>
      <c r="G53" s="127"/>
      <c r="H53" s="127"/>
    </row>
    <row r="54" spans="1:8" ht="32.25" customHeight="1">
      <c r="A54" s="640"/>
      <c r="B54" s="180" t="s">
        <v>319</v>
      </c>
      <c r="C54" s="158">
        <v>1.9699999999999999E-2</v>
      </c>
      <c r="D54" s="30">
        <f t="shared" si="0"/>
        <v>0</v>
      </c>
      <c r="E54" s="128"/>
      <c r="F54" s="128"/>
      <c r="G54" s="127"/>
      <c r="H54" s="127"/>
    </row>
    <row r="55" spans="1:8" ht="20.25" customHeight="1">
      <c r="A55" s="640"/>
      <c r="B55" s="180" t="s">
        <v>318</v>
      </c>
      <c r="C55" s="158">
        <v>2.3099999999999999E-2</v>
      </c>
      <c r="D55" s="30">
        <f t="shared" si="0"/>
        <v>0</v>
      </c>
      <c r="E55" s="128"/>
      <c r="F55" s="128"/>
      <c r="G55" s="127"/>
      <c r="H55" s="127"/>
    </row>
    <row r="56" spans="1:8" ht="54.75" customHeight="1">
      <c r="A56" s="640" t="s">
        <v>317</v>
      </c>
      <c r="B56" s="179" t="s">
        <v>316</v>
      </c>
      <c r="C56" s="158">
        <v>1.2699999999999999E-2</v>
      </c>
      <c r="D56" s="30">
        <f t="shared" si="0"/>
        <v>0</v>
      </c>
      <c r="E56" s="128"/>
      <c r="F56" s="128"/>
      <c r="G56" s="127"/>
      <c r="H56" s="127"/>
    </row>
    <row r="57" spans="1:8" ht="45.75" customHeight="1">
      <c r="A57" s="640"/>
      <c r="B57" s="179" t="s">
        <v>315</v>
      </c>
      <c r="C57" s="158">
        <v>1.2699999999999999E-2</v>
      </c>
      <c r="D57" s="30">
        <f t="shared" si="0"/>
        <v>0</v>
      </c>
      <c r="E57" s="128"/>
      <c r="F57" s="128"/>
      <c r="G57" s="127"/>
      <c r="H57" s="127"/>
    </row>
    <row r="58" spans="1:8" ht="36.75" customHeight="1">
      <c r="A58" s="640"/>
      <c r="B58" s="179" t="s">
        <v>314</v>
      </c>
      <c r="C58" s="158">
        <v>1.2699999999999999E-2</v>
      </c>
      <c r="D58" s="30">
        <f t="shared" si="0"/>
        <v>0</v>
      </c>
      <c r="E58" s="128"/>
      <c r="F58" s="128"/>
      <c r="G58" s="127"/>
      <c r="H58" s="127"/>
    </row>
    <row r="59" spans="1:8" ht="23.25" customHeight="1">
      <c r="A59" s="640"/>
      <c r="B59" s="179" t="s">
        <v>313</v>
      </c>
      <c r="C59" s="158">
        <v>1.2699999999999999E-2</v>
      </c>
      <c r="D59" s="30">
        <f t="shared" si="0"/>
        <v>0</v>
      </c>
      <c r="E59" s="128"/>
      <c r="F59" s="128"/>
      <c r="G59" s="127"/>
      <c r="H59" s="127"/>
    </row>
    <row r="60" spans="1:8" ht="18.75" customHeight="1">
      <c r="A60" s="640"/>
      <c r="B60" s="179" t="s">
        <v>312</v>
      </c>
      <c r="C60" s="158">
        <v>1.2699999999999999E-2</v>
      </c>
      <c r="D60" s="30">
        <f t="shared" si="0"/>
        <v>0</v>
      </c>
      <c r="E60" s="128"/>
      <c r="F60" s="128"/>
      <c r="G60" s="127"/>
      <c r="H60" s="127"/>
    </row>
    <row r="61" spans="1:8" ht="26.25" customHeight="1">
      <c r="A61" s="640"/>
      <c r="B61" s="179" t="s">
        <v>311</v>
      </c>
      <c r="C61" s="158">
        <v>1.2699999999999999E-2</v>
      </c>
      <c r="D61" s="30">
        <f t="shared" si="0"/>
        <v>0</v>
      </c>
      <c r="E61" s="128"/>
      <c r="F61" s="128"/>
      <c r="G61" s="127"/>
      <c r="H61" s="127"/>
    </row>
    <row r="62" spans="1:8" ht="25.5" customHeight="1">
      <c r="A62" s="640"/>
      <c r="B62" s="179" t="s">
        <v>310</v>
      </c>
      <c r="C62" s="158">
        <v>1.2699999999999999E-2</v>
      </c>
      <c r="D62" s="30">
        <f t="shared" si="0"/>
        <v>0</v>
      </c>
      <c r="E62" s="128"/>
      <c r="F62" s="128"/>
      <c r="G62" s="127"/>
      <c r="H62" s="127"/>
    </row>
    <row r="63" spans="1:8" ht="44.25" customHeight="1">
      <c r="A63" s="640"/>
      <c r="B63" s="179" t="s">
        <v>309</v>
      </c>
      <c r="C63" s="158">
        <v>1.2E-2</v>
      </c>
      <c r="D63" s="30">
        <f t="shared" si="0"/>
        <v>0</v>
      </c>
      <c r="E63" s="128"/>
      <c r="F63" s="128"/>
      <c r="G63" s="127"/>
      <c r="H63" s="127"/>
    </row>
    <row r="64" spans="1:8" ht="114">
      <c r="A64" s="640"/>
      <c r="B64" s="179" t="s">
        <v>308</v>
      </c>
      <c r="C64" s="158">
        <v>9.1899999999999996E-2</v>
      </c>
      <c r="D64" s="30">
        <f t="shared" si="0"/>
        <v>0</v>
      </c>
      <c r="E64" s="128"/>
      <c r="F64" s="128"/>
      <c r="G64" s="127"/>
      <c r="H64" s="127"/>
    </row>
    <row r="65" spans="1:75" customFormat="1" ht="15">
      <c r="A65" s="634" t="s">
        <v>14</v>
      </c>
      <c r="B65" s="611"/>
      <c r="C65" s="121">
        <f>SUM(C17:C64)</f>
        <v>1.0000000000000007</v>
      </c>
      <c r="D65" s="175"/>
      <c r="E65" s="22">
        <f>COUNT(E17:E64)</f>
        <v>0</v>
      </c>
      <c r="F65" s="22">
        <f>COUNT(F17:F64)</f>
        <v>0</v>
      </c>
      <c r="G65" s="22">
        <f>COUNT(G17:G64)</f>
        <v>0</v>
      </c>
      <c r="H65" s="23"/>
    </row>
    <row r="66" spans="1:75" s="12" customFormat="1" ht="15">
      <c r="A66" s="635"/>
      <c r="B66" s="613"/>
      <c r="C66" s="110"/>
      <c r="D66" s="31"/>
      <c r="E66" s="607">
        <f>IFERROR((E65/((E65+F65+G65)-G65)),0)</f>
        <v>0</v>
      </c>
      <c r="F66" s="608"/>
      <c r="G66" s="609"/>
      <c r="H66" s="178"/>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177"/>
      <c r="AH66" s="177"/>
      <c r="AI66" s="177"/>
      <c r="AJ66" s="177"/>
      <c r="AK66" s="177"/>
      <c r="AL66" s="177"/>
      <c r="AM66" s="177"/>
      <c r="AN66" s="177"/>
      <c r="AO66" s="177"/>
      <c r="AP66" s="177"/>
      <c r="AQ66" s="177"/>
      <c r="AR66" s="177"/>
      <c r="AS66" s="177"/>
      <c r="AT66" s="177"/>
      <c r="AU66" s="177"/>
      <c r="AV66" s="177"/>
      <c r="AW66" s="177"/>
      <c r="AX66" s="177"/>
      <c r="AY66" s="177"/>
      <c r="AZ66" s="177"/>
      <c r="BA66" s="177"/>
      <c r="BB66" s="177"/>
      <c r="BC66" s="177"/>
      <c r="BD66" s="177"/>
      <c r="BE66" s="177"/>
      <c r="BF66" s="177"/>
      <c r="BG66" s="177"/>
      <c r="BH66" s="177"/>
      <c r="BI66" s="177"/>
      <c r="BJ66" s="177"/>
      <c r="BK66" s="177"/>
      <c r="BL66" s="177"/>
      <c r="BM66" s="177"/>
      <c r="BN66" s="177"/>
      <c r="BO66" s="177"/>
      <c r="BP66" s="177"/>
      <c r="BQ66" s="177"/>
      <c r="BR66" s="177"/>
      <c r="BS66" s="177"/>
      <c r="BT66" s="177"/>
      <c r="BU66" s="177"/>
      <c r="BV66" s="177"/>
      <c r="BW66" s="177"/>
    </row>
    <row r="67" spans="1:75">
      <c r="B67" s="84"/>
      <c r="C67" s="84"/>
      <c r="D67" s="84"/>
    </row>
    <row r="68" spans="1:75" customFormat="1" ht="15.75">
      <c r="A68" s="15" t="s">
        <v>20</v>
      </c>
      <c r="B68" s="16" t="s">
        <v>15</v>
      </c>
      <c r="C68" s="24"/>
      <c r="D68" s="24"/>
      <c r="E68" s="24"/>
      <c r="F68" s="25"/>
      <c r="G68" s="25"/>
      <c r="H68" s="26"/>
    </row>
    <row r="69" spans="1:75" customFormat="1" ht="15.75">
      <c r="A69" s="17" t="s">
        <v>21</v>
      </c>
      <c r="B69" s="475" t="s">
        <v>22</v>
      </c>
      <c r="C69" s="476"/>
      <c r="D69" s="476"/>
      <c r="E69" s="476"/>
      <c r="F69" s="476"/>
      <c r="G69" s="476"/>
      <c r="H69" s="476"/>
    </row>
    <row r="70" spans="1:75" customFormat="1" ht="15.75">
      <c r="A70" s="18" t="s">
        <v>23</v>
      </c>
      <c r="B70" s="475" t="s">
        <v>16</v>
      </c>
      <c r="C70" s="475"/>
      <c r="D70" s="475"/>
      <c r="E70" s="475"/>
      <c r="F70" s="475"/>
      <c r="G70" s="475"/>
      <c r="H70" s="475"/>
    </row>
    <row r="71" spans="1:75" customFormat="1" ht="15.75">
      <c r="A71" s="19" t="s">
        <v>17</v>
      </c>
      <c r="B71" s="475" t="s">
        <v>18</v>
      </c>
      <c r="C71" s="475"/>
      <c r="D71" s="475"/>
      <c r="E71" s="475"/>
      <c r="F71" s="475"/>
      <c r="G71" s="475"/>
      <c r="H71" s="475"/>
    </row>
    <row r="72" spans="1:75">
      <c r="B72" s="176"/>
    </row>
  </sheetData>
  <mergeCells count="24">
    <mergeCell ref="E1:G1"/>
    <mergeCell ref="B3:G4"/>
    <mergeCell ref="E7:G7"/>
    <mergeCell ref="E11:H11"/>
    <mergeCell ref="A14:B16"/>
    <mergeCell ref="E15:G15"/>
    <mergeCell ref="H15:H16"/>
    <mergeCell ref="E12:H12"/>
    <mergeCell ref="A13:B13"/>
    <mergeCell ref="E13:H13"/>
    <mergeCell ref="A65:B66"/>
    <mergeCell ref="E66:G66"/>
    <mergeCell ref="C13:C16"/>
    <mergeCell ref="D13:D16"/>
    <mergeCell ref="B71:H71"/>
    <mergeCell ref="A17:A20"/>
    <mergeCell ref="A21:A26"/>
    <mergeCell ref="A27:A33"/>
    <mergeCell ref="A34:A44"/>
    <mergeCell ref="A45:A49"/>
    <mergeCell ref="A51:A55"/>
    <mergeCell ref="A56:A64"/>
    <mergeCell ref="B69:H69"/>
    <mergeCell ref="B70:H70"/>
  </mergeCells>
  <conditionalFormatting sqref="E66:G66">
    <cfRule type="colorScale" priority="5">
      <colorScale>
        <cfvo type="num" val="0.5"/>
        <cfvo type="num" val="0.7"/>
        <cfvo type="num" val="1"/>
        <color rgb="FFFF0000"/>
        <color rgb="FFFFEB84"/>
        <color theme="9" tint="-0.249977111117893"/>
      </colorScale>
    </cfRule>
  </conditionalFormatting>
  <conditionalFormatting sqref="D17:D64">
    <cfRule type="cellIs" dxfId="14" priority="1" operator="equal">
      <formula>0</formula>
    </cfRule>
    <cfRule type="containsText" dxfId="13" priority="2" operator="containsText" text="PORFAVOR MARQUE UNA SOLA OPCION">
      <formula>NOT(ISERROR(SEARCH("PORFAVOR MARQUE UNA SOLA OPCION",D17)))</formula>
    </cfRule>
    <cfRule type="cellIs" dxfId="12" priority="3" operator="greaterThan">
      <formula>0</formula>
    </cfRule>
  </conditionalFormatting>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851D-7219-41F3-B38F-BF745093D7A3}">
  <dimension ref="A1:I69"/>
  <sheetViews>
    <sheetView topLeftCell="D49" zoomScale="90" zoomScaleNormal="90" workbookViewId="0">
      <selection activeCell="F57" sqref="F57"/>
    </sheetView>
  </sheetViews>
  <sheetFormatPr baseColWidth="10" defaultColWidth="11" defaultRowHeight="13.5"/>
  <cols>
    <col min="1" max="1" width="32.875" style="244" customWidth="1"/>
    <col min="2" max="2" width="41.375" style="244" customWidth="1"/>
    <col min="3" max="3" width="57.375" style="244" customWidth="1"/>
    <col min="4" max="4" width="23.75" style="244" bestFit="1" customWidth="1"/>
    <col min="5" max="5" width="26.25" style="245" customWidth="1"/>
    <col min="6" max="6" width="19.5" style="244" customWidth="1"/>
    <col min="7" max="7" width="21.125" style="244" customWidth="1"/>
    <col min="8" max="8" width="33.875" style="244" customWidth="1"/>
    <col min="9" max="9" width="49.125" style="244" customWidth="1"/>
    <col min="10" max="16384" width="11" style="244"/>
  </cols>
  <sheetData>
    <row r="1" spans="1:9" ht="14.25">
      <c r="A1" s="296"/>
      <c r="B1" s="504" t="s">
        <v>26</v>
      </c>
      <c r="C1" s="504"/>
      <c r="D1" s="504"/>
      <c r="E1" s="504"/>
      <c r="F1" s="504"/>
      <c r="G1" s="504"/>
    </row>
    <row r="2" spans="1:9" ht="14.25">
      <c r="A2" s="296"/>
      <c r="B2" s="504"/>
      <c r="C2" s="504"/>
      <c r="D2" s="504"/>
      <c r="E2" s="504"/>
      <c r="F2" s="504"/>
      <c r="G2" s="504"/>
    </row>
    <row r="3" spans="1:9">
      <c r="A3" s="295"/>
      <c r="C3" s="295"/>
      <c r="D3" s="295"/>
      <c r="E3" s="294"/>
    </row>
    <row r="4" spans="1:9">
      <c r="A4" s="295"/>
      <c r="C4" s="295"/>
      <c r="D4" s="295"/>
      <c r="E4" s="294"/>
    </row>
    <row r="5" spans="1:9" ht="27.75" customHeight="1">
      <c r="A5" s="291" t="s">
        <v>1</v>
      </c>
      <c r="B5" s="290"/>
      <c r="C5" s="530" t="s">
        <v>2</v>
      </c>
      <c r="D5" s="531"/>
      <c r="E5" s="531"/>
      <c r="F5" s="531"/>
      <c r="G5" s="532"/>
    </row>
    <row r="6" spans="1:9" ht="24" customHeight="1">
      <c r="A6" s="291" t="s">
        <v>3</v>
      </c>
      <c r="B6" s="293"/>
      <c r="C6" s="286" t="s">
        <v>4</v>
      </c>
      <c r="D6" s="286"/>
      <c r="E6" s="292"/>
      <c r="F6" s="286" t="s">
        <v>5</v>
      </c>
      <c r="G6" s="286" t="s">
        <v>6</v>
      </c>
    </row>
    <row r="7" spans="1:9" ht="24.75" customHeight="1">
      <c r="A7" s="291" t="s">
        <v>7</v>
      </c>
      <c r="B7" s="290"/>
      <c r="C7" s="289">
        <v>1</v>
      </c>
      <c r="D7" s="289"/>
      <c r="E7" s="288"/>
      <c r="F7" s="287">
        <v>0</v>
      </c>
      <c r="G7" s="286">
        <v>1</v>
      </c>
    </row>
    <row r="10" spans="1:9" ht="14.25">
      <c r="A10" s="533" t="s">
        <v>511</v>
      </c>
      <c r="B10" s="533"/>
      <c r="C10" s="533"/>
      <c r="D10" s="285"/>
      <c r="E10" s="284"/>
      <c r="F10" s="534" t="s">
        <v>510</v>
      </c>
      <c r="G10" s="535"/>
      <c r="H10" s="535"/>
      <c r="I10" s="536"/>
    </row>
    <row r="11" spans="1:9" s="283" customFormat="1" ht="14.25">
      <c r="A11" s="505" t="s">
        <v>8</v>
      </c>
      <c r="B11" s="505"/>
      <c r="C11" s="506"/>
      <c r="D11" s="542" t="s">
        <v>24</v>
      </c>
      <c r="E11" s="545" t="s">
        <v>25</v>
      </c>
      <c r="F11" s="534"/>
      <c r="G11" s="535"/>
      <c r="H11" s="535"/>
      <c r="I11" s="536"/>
    </row>
    <row r="12" spans="1:9">
      <c r="A12" s="507"/>
      <c r="B12" s="507"/>
      <c r="C12" s="508"/>
      <c r="D12" s="543"/>
      <c r="E12" s="546"/>
      <c r="F12" s="282" t="s">
        <v>9</v>
      </c>
      <c r="G12" s="282" t="s">
        <v>10</v>
      </c>
      <c r="H12" s="281" t="s">
        <v>11</v>
      </c>
      <c r="I12" s="281" t="s">
        <v>12</v>
      </c>
    </row>
    <row r="13" spans="1:9" ht="14.45" customHeight="1">
      <c r="A13" s="507"/>
      <c r="B13" s="507"/>
      <c r="C13" s="508"/>
      <c r="D13" s="543"/>
      <c r="E13" s="546"/>
      <c r="F13" s="537" t="s">
        <v>2</v>
      </c>
      <c r="G13" s="538"/>
      <c r="H13" s="539"/>
      <c r="I13" s="540" t="s">
        <v>0</v>
      </c>
    </row>
    <row r="14" spans="1:9">
      <c r="A14" s="509"/>
      <c r="B14" s="509"/>
      <c r="C14" s="510"/>
      <c r="D14" s="544"/>
      <c r="E14" s="547"/>
      <c r="F14" s="280" t="s">
        <v>13</v>
      </c>
      <c r="G14" s="280" t="s">
        <v>5</v>
      </c>
      <c r="H14" s="280" t="s">
        <v>6</v>
      </c>
      <c r="I14" s="541"/>
    </row>
    <row r="15" spans="1:9" s="275" customFormat="1" ht="74.25" customHeight="1">
      <c r="A15" s="279" t="s">
        <v>432</v>
      </c>
      <c r="B15" s="527" t="s">
        <v>509</v>
      </c>
      <c r="C15" s="528"/>
      <c r="D15" s="278">
        <v>0.01</v>
      </c>
      <c r="E15" s="30">
        <f>IF(COUNTA(F15:H15)&gt;1, "PORFAVOR MARQUE UNA SOLA OPCION", IF(OR(F15&lt;&gt;"", H15&lt;&gt;""), D15, IF(G15&lt;&gt;"", 0, 0)))</f>
        <v>0</v>
      </c>
      <c r="F15" s="264"/>
      <c r="G15" s="263"/>
      <c r="H15" s="263"/>
      <c r="I15" s="267"/>
    </row>
    <row r="16" spans="1:9" s="275" customFormat="1" ht="27.75" customHeight="1">
      <c r="A16" s="511" t="s">
        <v>508</v>
      </c>
      <c r="B16" s="523" t="s">
        <v>429</v>
      </c>
      <c r="C16" s="518"/>
      <c r="D16" s="277">
        <v>2.5000000000000001E-3</v>
      </c>
      <c r="E16" s="30">
        <f t="shared" ref="E16:E62" si="0">IF(COUNTA(F16:H16)&gt;1, "PORFAVOR MARQUE UNA SOLA OPCION", IF(OR(F16&lt;&gt;"", H16&lt;&gt;""), D16, IF(G16&lt;&gt;"", 0, 0)))</f>
        <v>0</v>
      </c>
      <c r="F16" s="263"/>
      <c r="G16" s="263"/>
      <c r="H16" s="263"/>
      <c r="I16" s="267"/>
    </row>
    <row r="17" spans="1:9" s="275" customFormat="1" ht="28.5" customHeight="1">
      <c r="A17" s="512"/>
      <c r="B17" s="523" t="s">
        <v>507</v>
      </c>
      <c r="C17" s="518"/>
      <c r="D17" s="277">
        <v>2.5000000000000001E-3</v>
      </c>
      <c r="E17" s="30">
        <f t="shared" si="0"/>
        <v>0</v>
      </c>
      <c r="F17" s="276"/>
      <c r="G17" s="263"/>
      <c r="H17" s="263"/>
      <c r="I17" s="267"/>
    </row>
    <row r="18" spans="1:9" s="275" customFormat="1" ht="42" customHeight="1">
      <c r="A18" s="512"/>
      <c r="B18" s="518" t="s">
        <v>427</v>
      </c>
      <c r="C18" s="529"/>
      <c r="D18" s="277">
        <v>2.5000000000000001E-3</v>
      </c>
      <c r="E18" s="30">
        <f t="shared" si="0"/>
        <v>0</v>
      </c>
      <c r="F18" s="276"/>
      <c r="G18" s="263"/>
      <c r="H18" s="263"/>
      <c r="I18" s="267"/>
    </row>
    <row r="19" spans="1:9" s="275" customFormat="1" ht="27.75" customHeight="1">
      <c r="A19" s="513"/>
      <c r="B19" s="518" t="s">
        <v>506</v>
      </c>
      <c r="C19" s="529"/>
      <c r="D19" s="277">
        <v>2.5000000000000001E-3</v>
      </c>
      <c r="E19" s="30">
        <f t="shared" si="0"/>
        <v>0</v>
      </c>
      <c r="F19" s="276"/>
      <c r="G19" s="263"/>
      <c r="H19" s="263"/>
      <c r="I19" s="268"/>
    </row>
    <row r="20" spans="1:9" ht="27.75" customHeight="1">
      <c r="A20" s="511" t="s">
        <v>505</v>
      </c>
      <c r="B20" s="523" t="s">
        <v>504</v>
      </c>
      <c r="C20" s="523"/>
      <c r="D20" s="265">
        <v>2.5000000000000001E-2</v>
      </c>
      <c r="E20" s="30">
        <f t="shared" si="0"/>
        <v>0</v>
      </c>
      <c r="F20" s="264"/>
      <c r="G20" s="263"/>
      <c r="H20" s="263"/>
      <c r="I20" s="267"/>
    </row>
    <row r="21" spans="1:9" ht="45" customHeight="1">
      <c r="A21" s="512"/>
      <c r="B21" s="521" t="s">
        <v>503</v>
      </c>
      <c r="C21" s="522"/>
      <c r="D21" s="265">
        <v>2.5000000000000001E-2</v>
      </c>
      <c r="E21" s="30">
        <f t="shared" si="0"/>
        <v>0</v>
      </c>
      <c r="F21" s="264"/>
      <c r="G21" s="263"/>
      <c r="H21" s="263"/>
      <c r="I21" s="266"/>
    </row>
    <row r="22" spans="1:9" ht="62.25" customHeight="1">
      <c r="A22" s="512"/>
      <c r="B22" s="523" t="s">
        <v>502</v>
      </c>
      <c r="C22" s="523"/>
      <c r="D22" s="265">
        <v>2.5000000000000001E-2</v>
      </c>
      <c r="E22" s="30">
        <f t="shared" si="0"/>
        <v>0</v>
      </c>
      <c r="F22" s="264"/>
      <c r="G22" s="263"/>
      <c r="H22" s="263"/>
      <c r="I22" s="267"/>
    </row>
    <row r="23" spans="1:9" ht="41.25" customHeight="1">
      <c r="A23" s="512"/>
      <c r="B23" s="485" t="s">
        <v>501</v>
      </c>
      <c r="C23" s="486"/>
      <c r="D23" s="265">
        <v>2.5000000000000001E-2</v>
      </c>
      <c r="E23" s="30">
        <f t="shared" si="0"/>
        <v>0</v>
      </c>
      <c r="F23" s="264"/>
      <c r="G23" s="263"/>
      <c r="H23" s="263"/>
      <c r="I23" s="267"/>
    </row>
    <row r="24" spans="1:9" ht="35.25" customHeight="1">
      <c r="A24" s="512"/>
      <c r="B24" s="485" t="s">
        <v>500</v>
      </c>
      <c r="C24" s="486"/>
      <c r="D24" s="265">
        <v>2.5000000000000001E-2</v>
      </c>
      <c r="E24" s="30">
        <f t="shared" si="0"/>
        <v>0</v>
      </c>
      <c r="F24" s="264"/>
      <c r="G24" s="263"/>
      <c r="H24" s="263"/>
      <c r="I24" s="267"/>
    </row>
    <row r="25" spans="1:9" ht="28.5" customHeight="1">
      <c r="A25" s="512"/>
      <c r="B25" s="485" t="s">
        <v>499</v>
      </c>
      <c r="C25" s="486"/>
      <c r="D25" s="265">
        <v>2.5000000000000001E-2</v>
      </c>
      <c r="E25" s="30">
        <f t="shared" si="0"/>
        <v>0</v>
      </c>
      <c r="F25" s="264"/>
      <c r="G25" s="263"/>
      <c r="H25" s="263"/>
      <c r="I25" s="267"/>
    </row>
    <row r="26" spans="1:9" ht="18.75" customHeight="1">
      <c r="A26" s="512"/>
      <c r="B26" s="501" t="s">
        <v>498</v>
      </c>
      <c r="C26" s="502"/>
      <c r="D26" s="265">
        <v>2.5000000000000001E-2</v>
      </c>
      <c r="E26" s="30">
        <f t="shared" si="0"/>
        <v>0</v>
      </c>
      <c r="F26" s="264"/>
      <c r="G26" s="263"/>
      <c r="H26" s="263"/>
      <c r="I26" s="267"/>
    </row>
    <row r="27" spans="1:9" ht="25.5" customHeight="1">
      <c r="A27" s="512"/>
      <c r="B27" s="495" t="s">
        <v>497</v>
      </c>
      <c r="C27" s="500"/>
      <c r="D27" s="265">
        <v>2.5000000000000001E-2</v>
      </c>
      <c r="E27" s="30">
        <f t="shared" si="0"/>
        <v>0</v>
      </c>
      <c r="F27" s="264"/>
      <c r="G27" s="263"/>
      <c r="H27" s="263"/>
      <c r="I27" s="267"/>
    </row>
    <row r="28" spans="1:9" ht="28.5" customHeight="1">
      <c r="A28" s="512"/>
      <c r="B28" s="518" t="s">
        <v>496</v>
      </c>
      <c r="C28" s="519"/>
      <c r="D28" s="265">
        <v>2.5000000000000001E-2</v>
      </c>
      <c r="E28" s="30">
        <f t="shared" si="0"/>
        <v>0</v>
      </c>
      <c r="F28" s="264"/>
      <c r="G28" s="263"/>
      <c r="H28" s="263"/>
      <c r="I28" s="267"/>
    </row>
    <row r="29" spans="1:9" ht="28.5" customHeight="1">
      <c r="A29" s="513"/>
      <c r="B29" s="518" t="s">
        <v>495</v>
      </c>
      <c r="C29" s="519"/>
      <c r="D29" s="265">
        <v>2.5000000000000001E-2</v>
      </c>
      <c r="E29" s="30">
        <f t="shared" si="0"/>
        <v>0</v>
      </c>
      <c r="F29" s="264"/>
      <c r="G29" s="263"/>
      <c r="H29" s="263"/>
      <c r="I29" s="267"/>
    </row>
    <row r="30" spans="1:9" ht="14.25" customHeight="1">
      <c r="A30" s="514" t="s">
        <v>494</v>
      </c>
      <c r="B30" s="515" t="s">
        <v>493</v>
      </c>
      <c r="C30" s="273" t="s">
        <v>492</v>
      </c>
      <c r="D30" s="265">
        <v>2.5000000000000001E-3</v>
      </c>
      <c r="E30" s="30">
        <f t="shared" si="0"/>
        <v>0</v>
      </c>
      <c r="F30" s="264"/>
      <c r="G30" s="263"/>
      <c r="H30" s="263"/>
      <c r="I30" s="274"/>
    </row>
    <row r="31" spans="1:9" ht="35.25" customHeight="1">
      <c r="A31" s="514"/>
      <c r="B31" s="515"/>
      <c r="C31" s="273" t="s">
        <v>491</v>
      </c>
      <c r="D31" s="265">
        <v>2.5000000000000001E-3</v>
      </c>
      <c r="E31" s="30">
        <f t="shared" si="0"/>
        <v>0</v>
      </c>
      <c r="F31" s="264"/>
      <c r="G31" s="263"/>
      <c r="H31" s="263"/>
      <c r="I31" s="274"/>
    </row>
    <row r="32" spans="1:9" ht="21" customHeight="1">
      <c r="A32" s="514"/>
      <c r="B32" s="515"/>
      <c r="C32" s="273" t="s">
        <v>490</v>
      </c>
      <c r="D32" s="265">
        <v>2.5000000000000001E-3</v>
      </c>
      <c r="E32" s="30">
        <f t="shared" si="0"/>
        <v>0</v>
      </c>
      <c r="F32" s="264"/>
      <c r="G32" s="263"/>
      <c r="H32" s="263"/>
      <c r="I32" s="274"/>
    </row>
    <row r="33" spans="1:9" ht="21" customHeight="1">
      <c r="A33" s="514"/>
      <c r="B33" s="515"/>
      <c r="C33" s="273" t="s">
        <v>489</v>
      </c>
      <c r="D33" s="265">
        <v>2.5000000000000001E-3</v>
      </c>
      <c r="E33" s="30">
        <f t="shared" si="0"/>
        <v>0</v>
      </c>
      <c r="F33" s="264"/>
      <c r="G33" s="263"/>
      <c r="H33" s="263"/>
      <c r="I33" s="267"/>
    </row>
    <row r="34" spans="1:9" ht="34.5" customHeight="1">
      <c r="A34" s="514"/>
      <c r="B34" s="516" t="s">
        <v>488</v>
      </c>
      <c r="C34" s="273" t="s">
        <v>487</v>
      </c>
      <c r="D34" s="265">
        <v>2.5000000000000001E-3</v>
      </c>
      <c r="E34" s="30">
        <f t="shared" si="0"/>
        <v>0</v>
      </c>
      <c r="F34" s="264"/>
      <c r="G34" s="263"/>
      <c r="H34" s="263"/>
      <c r="I34" s="267"/>
    </row>
    <row r="35" spans="1:9" ht="15.75" customHeight="1">
      <c r="A35" s="514"/>
      <c r="B35" s="517"/>
      <c r="C35" s="273" t="s">
        <v>486</v>
      </c>
      <c r="D35" s="265">
        <v>2.5000000000000001E-3</v>
      </c>
      <c r="E35" s="30">
        <f t="shared" si="0"/>
        <v>0</v>
      </c>
      <c r="F35" s="264"/>
      <c r="G35" s="263"/>
      <c r="H35" s="263"/>
      <c r="I35" s="267"/>
    </row>
    <row r="36" spans="1:9" ht="15.75" customHeight="1">
      <c r="A36" s="514"/>
      <c r="B36" s="517"/>
      <c r="C36" s="273" t="s">
        <v>485</v>
      </c>
      <c r="D36" s="265">
        <v>2.5000000000000001E-3</v>
      </c>
      <c r="E36" s="30">
        <f t="shared" si="0"/>
        <v>0</v>
      </c>
      <c r="F36" s="264"/>
      <c r="G36" s="263"/>
      <c r="H36" s="263"/>
      <c r="I36" s="267"/>
    </row>
    <row r="37" spans="1:9" ht="32.25" customHeight="1">
      <c r="A37" s="514"/>
      <c r="B37" s="517"/>
      <c r="C37" s="273" t="s">
        <v>484</v>
      </c>
      <c r="D37" s="265">
        <v>2.5000000000000001E-3</v>
      </c>
      <c r="E37" s="30">
        <f t="shared" si="0"/>
        <v>0</v>
      </c>
      <c r="F37" s="264"/>
      <c r="G37" s="263"/>
      <c r="H37" s="263"/>
      <c r="I37" s="267"/>
    </row>
    <row r="38" spans="1:9" ht="27.75" customHeight="1">
      <c r="A38" s="514"/>
      <c r="B38" s="517"/>
      <c r="C38" s="272" t="s">
        <v>483</v>
      </c>
      <c r="D38" s="265">
        <v>2.5000000000000001E-3</v>
      </c>
      <c r="E38" s="30">
        <f t="shared" si="0"/>
        <v>0</v>
      </c>
      <c r="F38" s="264"/>
      <c r="G38" s="263"/>
      <c r="H38" s="263"/>
      <c r="I38" s="267"/>
    </row>
    <row r="39" spans="1:9" ht="27">
      <c r="A39" s="514"/>
      <c r="B39" s="520" t="s">
        <v>85</v>
      </c>
      <c r="C39" s="270" t="s">
        <v>482</v>
      </c>
      <c r="D39" s="265">
        <v>2.5000000000000001E-3</v>
      </c>
      <c r="E39" s="30">
        <f t="shared" si="0"/>
        <v>0</v>
      </c>
      <c r="F39" s="264"/>
      <c r="G39" s="263"/>
      <c r="H39" s="263"/>
      <c r="I39" s="267"/>
    </row>
    <row r="40" spans="1:9" ht="60" customHeight="1">
      <c r="A40" s="514"/>
      <c r="B40" s="520"/>
      <c r="C40" s="270" t="s">
        <v>481</v>
      </c>
      <c r="D40" s="265">
        <v>2.5000000000000001E-3</v>
      </c>
      <c r="E40" s="30">
        <f t="shared" si="0"/>
        <v>0</v>
      </c>
      <c r="F40" s="264"/>
      <c r="G40" s="263"/>
      <c r="H40" s="263"/>
      <c r="I40" s="266"/>
    </row>
    <row r="41" spans="1:9" ht="37.5" customHeight="1">
      <c r="A41" s="514"/>
      <c r="B41" s="271" t="s">
        <v>95</v>
      </c>
      <c r="C41" s="270" t="s">
        <v>480</v>
      </c>
      <c r="D41" s="265">
        <v>2.5000000000000001E-3</v>
      </c>
      <c r="E41" s="30">
        <f t="shared" si="0"/>
        <v>0</v>
      </c>
      <c r="F41" s="264"/>
      <c r="G41" s="263"/>
      <c r="H41" s="263"/>
      <c r="I41" s="267"/>
    </row>
    <row r="42" spans="1:9" ht="48.75" customHeight="1">
      <c r="A42" s="511" t="s">
        <v>376</v>
      </c>
      <c r="B42" s="488" t="s">
        <v>479</v>
      </c>
      <c r="C42" s="488"/>
      <c r="D42" s="265">
        <v>0.05</v>
      </c>
      <c r="E42" s="30">
        <f t="shared" si="0"/>
        <v>0</v>
      </c>
      <c r="F42" s="264"/>
      <c r="G42" s="263"/>
      <c r="H42" s="263"/>
      <c r="I42" s="267"/>
    </row>
    <row r="43" spans="1:9" ht="17.25" customHeight="1">
      <c r="A43" s="512"/>
      <c r="B43" s="524" t="s">
        <v>478</v>
      </c>
      <c r="C43" s="524"/>
      <c r="D43" s="265">
        <v>0.05</v>
      </c>
      <c r="E43" s="30">
        <f t="shared" si="0"/>
        <v>0</v>
      </c>
      <c r="F43" s="264"/>
      <c r="G43" s="263"/>
      <c r="H43" s="263"/>
      <c r="I43" s="267"/>
    </row>
    <row r="44" spans="1:9" ht="19.5" customHeight="1">
      <c r="A44" s="512"/>
      <c r="B44" s="525" t="s">
        <v>477</v>
      </c>
      <c r="C44" s="526"/>
      <c r="D44" s="265">
        <v>0.05</v>
      </c>
      <c r="E44" s="30">
        <f t="shared" si="0"/>
        <v>0</v>
      </c>
      <c r="F44" s="264"/>
      <c r="G44" s="263"/>
      <c r="H44" s="263"/>
      <c r="I44" s="269"/>
    </row>
    <row r="45" spans="1:9" ht="27" customHeight="1">
      <c r="A45" s="512"/>
      <c r="B45" s="495" t="s">
        <v>476</v>
      </c>
      <c r="C45" s="500"/>
      <c r="D45" s="265">
        <v>0.05</v>
      </c>
      <c r="E45" s="30">
        <f t="shared" si="0"/>
        <v>0</v>
      </c>
      <c r="F45" s="264"/>
      <c r="G45" s="263"/>
      <c r="H45" s="263"/>
      <c r="I45" s="269"/>
    </row>
    <row r="46" spans="1:9" ht="66.75" customHeight="1">
      <c r="A46" s="512"/>
      <c r="B46" s="488" t="s">
        <v>475</v>
      </c>
      <c r="C46" s="488"/>
      <c r="D46" s="265">
        <v>0.04</v>
      </c>
      <c r="E46" s="30">
        <f t="shared" si="0"/>
        <v>0</v>
      </c>
      <c r="F46" s="264"/>
      <c r="G46" s="263"/>
      <c r="H46" s="263"/>
      <c r="I46" s="267"/>
    </row>
    <row r="47" spans="1:9" ht="54" customHeight="1">
      <c r="A47" s="512"/>
      <c r="B47" s="488" t="s">
        <v>474</v>
      </c>
      <c r="C47" s="488"/>
      <c r="D47" s="265">
        <v>0.05</v>
      </c>
      <c r="E47" s="30">
        <f t="shared" si="0"/>
        <v>0</v>
      </c>
      <c r="F47" s="264"/>
      <c r="G47" s="263"/>
      <c r="H47" s="263"/>
      <c r="I47" s="268"/>
    </row>
    <row r="48" spans="1:9" ht="63.75" customHeight="1">
      <c r="A48" s="513"/>
      <c r="B48" s="495" t="s">
        <v>473</v>
      </c>
      <c r="C48" s="500"/>
      <c r="D48" s="265">
        <v>0.04</v>
      </c>
      <c r="E48" s="30">
        <f t="shared" si="0"/>
        <v>0</v>
      </c>
      <c r="F48" s="264"/>
      <c r="G48" s="263"/>
      <c r="H48" s="263"/>
      <c r="I48" s="267"/>
    </row>
    <row r="49" spans="1:9" ht="41.25" customHeight="1">
      <c r="A49" s="511" t="s">
        <v>373</v>
      </c>
      <c r="B49" s="495" t="s">
        <v>472</v>
      </c>
      <c r="C49" s="496"/>
      <c r="D49" s="265">
        <v>0.04</v>
      </c>
      <c r="E49" s="30">
        <f t="shared" si="0"/>
        <v>0</v>
      </c>
      <c r="F49" s="264"/>
      <c r="G49" s="263"/>
      <c r="H49" s="263"/>
      <c r="I49" s="267"/>
    </row>
    <row r="50" spans="1:9" ht="33.75" customHeight="1">
      <c r="A50" s="512"/>
      <c r="B50" s="485" t="s">
        <v>471</v>
      </c>
      <c r="C50" s="486"/>
      <c r="D50" s="265">
        <v>0.04</v>
      </c>
      <c r="E50" s="30">
        <f t="shared" si="0"/>
        <v>0</v>
      </c>
      <c r="F50" s="264"/>
      <c r="G50" s="263"/>
      <c r="H50" s="263"/>
      <c r="I50" s="267"/>
    </row>
    <row r="51" spans="1:9" ht="22.5" customHeight="1">
      <c r="A51" s="512"/>
      <c r="B51" s="487" t="s">
        <v>470</v>
      </c>
      <c r="C51" s="487"/>
      <c r="D51" s="265">
        <v>0.04</v>
      </c>
      <c r="E51" s="30">
        <f t="shared" si="0"/>
        <v>0</v>
      </c>
      <c r="F51" s="264"/>
      <c r="G51" s="263"/>
      <c r="H51" s="263"/>
      <c r="I51" s="267"/>
    </row>
    <row r="52" spans="1:9" ht="37.5" customHeight="1">
      <c r="A52" s="512"/>
      <c r="B52" s="495" t="s">
        <v>469</v>
      </c>
      <c r="C52" s="496"/>
      <c r="D52" s="265">
        <v>0.04</v>
      </c>
      <c r="E52" s="30">
        <f t="shared" si="0"/>
        <v>0</v>
      </c>
      <c r="F52" s="264"/>
      <c r="G52" s="263"/>
      <c r="H52" s="263"/>
      <c r="I52" s="267"/>
    </row>
    <row r="53" spans="1:9" ht="47.25" customHeight="1">
      <c r="A53" s="512"/>
      <c r="B53" s="497" t="s">
        <v>468</v>
      </c>
      <c r="C53" s="498"/>
      <c r="D53" s="265">
        <v>2.5000000000000001E-2</v>
      </c>
      <c r="E53" s="30">
        <f t="shared" si="0"/>
        <v>0</v>
      </c>
      <c r="F53" s="264"/>
      <c r="G53" s="263"/>
      <c r="H53" s="263"/>
      <c r="I53" s="267"/>
    </row>
    <row r="54" spans="1:9" ht="16.5" customHeight="1">
      <c r="A54" s="512"/>
      <c r="B54" s="499" t="s">
        <v>467</v>
      </c>
      <c r="C54" s="499"/>
      <c r="D54" s="265">
        <v>2.5000000000000001E-2</v>
      </c>
      <c r="E54" s="30">
        <f t="shared" si="0"/>
        <v>0</v>
      </c>
      <c r="F54" s="264"/>
      <c r="G54" s="263"/>
      <c r="H54" s="263"/>
      <c r="I54" s="266"/>
    </row>
    <row r="55" spans="1:9" ht="23.25" customHeight="1">
      <c r="A55" s="512"/>
      <c r="B55" s="499" t="s">
        <v>372</v>
      </c>
      <c r="C55" s="499"/>
      <c r="D55" s="265">
        <v>2.5000000000000001E-2</v>
      </c>
      <c r="E55" s="30">
        <f t="shared" si="0"/>
        <v>0</v>
      </c>
      <c r="F55" s="264"/>
      <c r="G55" s="263"/>
      <c r="H55" s="263"/>
      <c r="I55" s="266"/>
    </row>
    <row r="56" spans="1:9" ht="24.75" customHeight="1">
      <c r="A56" s="512"/>
      <c r="B56" s="255" t="s">
        <v>466</v>
      </c>
      <c r="C56" s="255"/>
      <c r="D56" s="265">
        <v>2.5000000000000001E-2</v>
      </c>
      <c r="E56" s="30">
        <f t="shared" si="0"/>
        <v>0</v>
      </c>
      <c r="F56" s="264"/>
      <c r="G56" s="263"/>
      <c r="H56" s="263"/>
      <c r="I56" s="266"/>
    </row>
    <row r="57" spans="1:9" ht="15" customHeight="1">
      <c r="A57" s="512"/>
      <c r="B57" s="499" t="s">
        <v>121</v>
      </c>
      <c r="C57" s="499"/>
      <c r="D57" s="265">
        <v>2.5000000000000001E-2</v>
      </c>
      <c r="E57" s="30">
        <f t="shared" si="0"/>
        <v>0</v>
      </c>
      <c r="F57" s="264"/>
      <c r="G57" s="263"/>
      <c r="H57" s="263"/>
      <c r="I57" s="266"/>
    </row>
    <row r="58" spans="1:9" ht="48.75" customHeight="1">
      <c r="A58" s="512"/>
      <c r="B58" s="487" t="s">
        <v>465</v>
      </c>
      <c r="C58" s="487"/>
      <c r="D58" s="265">
        <v>2.5000000000000001E-2</v>
      </c>
      <c r="E58" s="30">
        <f t="shared" si="0"/>
        <v>0</v>
      </c>
      <c r="F58" s="264"/>
      <c r="G58" s="263"/>
      <c r="H58" s="263"/>
      <c r="I58" s="266"/>
    </row>
    <row r="59" spans="1:9" ht="15" customHeight="1">
      <c r="A59" s="511" t="s">
        <v>370</v>
      </c>
      <c r="B59" s="495" t="s">
        <v>464</v>
      </c>
      <c r="C59" s="500"/>
      <c r="D59" s="265">
        <v>1.4999999999999999E-2</v>
      </c>
      <c r="E59" s="30">
        <f t="shared" si="0"/>
        <v>0</v>
      </c>
      <c r="F59" s="264"/>
      <c r="G59" s="263"/>
      <c r="H59" s="263"/>
      <c r="I59" s="266"/>
    </row>
    <row r="60" spans="1:9" ht="15" customHeight="1">
      <c r="A60" s="512"/>
      <c r="B60" s="501" t="s">
        <v>463</v>
      </c>
      <c r="C60" s="502"/>
      <c r="D60" s="265">
        <v>1.4999999999999999E-2</v>
      </c>
      <c r="E60" s="30">
        <f t="shared" si="0"/>
        <v>0</v>
      </c>
      <c r="F60" s="264"/>
      <c r="G60" s="263"/>
      <c r="H60" s="263"/>
      <c r="I60" s="266"/>
    </row>
    <row r="61" spans="1:9" ht="15" customHeight="1">
      <c r="A61" s="512"/>
      <c r="B61" s="503" t="s">
        <v>462</v>
      </c>
      <c r="C61" s="503"/>
      <c r="D61" s="265">
        <v>1.4999999999999999E-2</v>
      </c>
      <c r="E61" s="30">
        <f t="shared" si="0"/>
        <v>0</v>
      </c>
      <c r="F61" s="264"/>
      <c r="G61" s="263"/>
      <c r="H61" s="263"/>
      <c r="I61" s="266"/>
    </row>
    <row r="62" spans="1:9" ht="39" customHeight="1">
      <c r="A62" s="513"/>
      <c r="B62" s="487" t="s">
        <v>461</v>
      </c>
      <c r="C62" s="487"/>
      <c r="D62" s="265">
        <v>1.4999999999999999E-2</v>
      </c>
      <c r="E62" s="30">
        <f t="shared" si="0"/>
        <v>0</v>
      </c>
      <c r="F62" s="264"/>
      <c r="G62" s="263"/>
      <c r="H62" s="263"/>
      <c r="I62" s="262"/>
    </row>
    <row r="63" spans="1:9" s="258" customFormat="1" ht="23.25" customHeight="1" thickBot="1">
      <c r="A63" s="489" t="s">
        <v>14</v>
      </c>
      <c r="B63" s="489"/>
      <c r="C63" s="490"/>
      <c r="D63" s="261">
        <f>SUM(D15:D62)</f>
        <v>1.0000000000000002</v>
      </c>
      <c r="E63" s="260">
        <f>SUM(E15:E62)</f>
        <v>0</v>
      </c>
      <c r="F63" s="304">
        <f>SUM(F15:F62)</f>
        <v>0</v>
      </c>
      <c r="G63" s="304">
        <f>SUM(G15:G62)</f>
        <v>0</v>
      </c>
      <c r="H63" s="304">
        <f>SUM(H15:H62)</f>
        <v>0</v>
      </c>
      <c r="I63" s="259"/>
    </row>
    <row r="64" spans="1:9" ht="15">
      <c r="A64" s="491"/>
      <c r="B64" s="491"/>
      <c r="C64" s="492"/>
      <c r="D64" s="257"/>
      <c r="E64" s="256"/>
      <c r="F64" s="463">
        <f>IFERROR((F63/((F63+G63+H63)-H63)),0)</f>
        <v>0</v>
      </c>
      <c r="G64" s="463"/>
      <c r="H64" s="464"/>
      <c r="I64" s="255"/>
    </row>
    <row r="66" spans="1:8" ht="15.75">
      <c r="A66" s="254" t="s">
        <v>20</v>
      </c>
      <c r="B66" s="253" t="s">
        <v>15</v>
      </c>
      <c r="C66" s="252"/>
      <c r="D66" s="250"/>
      <c r="E66" s="251"/>
      <c r="F66" s="250"/>
      <c r="G66" s="250"/>
      <c r="H66" s="249"/>
    </row>
    <row r="67" spans="1:8" ht="15.75">
      <c r="A67" s="248" t="s">
        <v>21</v>
      </c>
      <c r="B67" s="493" t="s">
        <v>22</v>
      </c>
      <c r="C67" s="494"/>
      <c r="D67" s="494"/>
      <c r="E67" s="494"/>
      <c r="F67" s="494"/>
      <c r="G67" s="494"/>
      <c r="H67" s="494"/>
    </row>
    <row r="68" spans="1:8" ht="15.75">
      <c r="A68" s="247" t="s">
        <v>23</v>
      </c>
      <c r="B68" s="493" t="s">
        <v>16</v>
      </c>
      <c r="C68" s="493"/>
      <c r="D68" s="493"/>
      <c r="E68" s="493"/>
      <c r="F68" s="493"/>
      <c r="G68" s="493"/>
      <c r="H68" s="493"/>
    </row>
    <row r="69" spans="1:8" ht="15.75">
      <c r="A69" s="246" t="s">
        <v>17</v>
      </c>
      <c r="B69" s="493" t="s">
        <v>18</v>
      </c>
      <c r="C69" s="493"/>
      <c r="D69" s="493"/>
      <c r="E69" s="493"/>
      <c r="F69" s="493"/>
      <c r="G69" s="493"/>
      <c r="H69" s="493"/>
    </row>
  </sheetData>
  <mergeCells count="59">
    <mergeCell ref="B18:C18"/>
    <mergeCell ref="B19:C19"/>
    <mergeCell ref="B20:C20"/>
    <mergeCell ref="C5:G5"/>
    <mergeCell ref="A10:C10"/>
    <mergeCell ref="F10:I10"/>
    <mergeCell ref="F11:I11"/>
    <mergeCell ref="F13:H13"/>
    <mergeCell ref="I13:I14"/>
    <mergeCell ref="D11:D14"/>
    <mergeCell ref="E11:E14"/>
    <mergeCell ref="B68:H68"/>
    <mergeCell ref="B69:H69"/>
    <mergeCell ref="A16:A19"/>
    <mergeCell ref="A20:A29"/>
    <mergeCell ref="A30:A41"/>
    <mergeCell ref="A42:A48"/>
    <mergeCell ref="A49:A58"/>
    <mergeCell ref="A59:A62"/>
    <mergeCell ref="B30:B33"/>
    <mergeCell ref="B34:B38"/>
    <mergeCell ref="B45:C45"/>
    <mergeCell ref="B46:C46"/>
    <mergeCell ref="B25:C25"/>
    <mergeCell ref="B26:C26"/>
    <mergeCell ref="B27:C27"/>
    <mergeCell ref="B28:C28"/>
    <mergeCell ref="B1:G2"/>
    <mergeCell ref="A11:C14"/>
    <mergeCell ref="B47:C47"/>
    <mergeCell ref="B48:C48"/>
    <mergeCell ref="B49:C49"/>
    <mergeCell ref="B29:C29"/>
    <mergeCell ref="B39:B40"/>
    <mergeCell ref="B21:C21"/>
    <mergeCell ref="B22:C22"/>
    <mergeCell ref="B23:C23"/>
    <mergeCell ref="B24:C24"/>
    <mergeCell ref="B43:C43"/>
    <mergeCell ref="B44:C44"/>
    <mergeCell ref="B15:C15"/>
    <mergeCell ref="B16:C16"/>
    <mergeCell ref="B17:C17"/>
    <mergeCell ref="B67:H67"/>
    <mergeCell ref="B52:C52"/>
    <mergeCell ref="B53:C53"/>
    <mergeCell ref="B54:C54"/>
    <mergeCell ref="B55:C55"/>
    <mergeCell ref="B57:C57"/>
    <mergeCell ref="B58:C58"/>
    <mergeCell ref="B59:C59"/>
    <mergeCell ref="B60:C60"/>
    <mergeCell ref="B61:C61"/>
    <mergeCell ref="B62:C62"/>
    <mergeCell ref="B50:C50"/>
    <mergeCell ref="B51:C51"/>
    <mergeCell ref="B42:C42"/>
    <mergeCell ref="A63:C64"/>
    <mergeCell ref="F64:H64"/>
  </mergeCells>
  <conditionalFormatting sqref="E16:E62">
    <cfRule type="colorScale" priority="5">
      <colorScale>
        <cfvo type="num" val="0"/>
        <cfvo type="formula" val="$D$16"/>
        <color rgb="FFFF0000"/>
        <color rgb="FF92D050"/>
      </colorScale>
    </cfRule>
  </conditionalFormatting>
  <conditionalFormatting sqref="E15:E62">
    <cfRule type="cellIs" dxfId="23" priority="2" operator="equal">
      <formula>0</formula>
    </cfRule>
    <cfRule type="containsText" dxfId="22" priority="3" operator="containsText" text="PORFAVOR MARQUE UNA SOLA OPCION">
      <formula>NOT(ISERROR(SEARCH("PORFAVOR MARQUE UNA SOLA OPCION",E15)))</formula>
    </cfRule>
    <cfRule type="cellIs" dxfId="21" priority="4" operator="greaterThan">
      <formula>0</formula>
    </cfRule>
  </conditionalFormatting>
  <conditionalFormatting sqref="F64:H64">
    <cfRule type="colorScale" priority="1">
      <colorScale>
        <cfvo type="num" val="0.5"/>
        <cfvo type="num" val="0.7"/>
        <cfvo type="num" val="1"/>
        <color rgb="FFFF0000"/>
        <color rgb="FFFFEB84"/>
        <color theme="9" tint="-0.249977111117893"/>
      </colorScale>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1262-1767-440B-AEF9-F02CC499B87A}">
  <dimension ref="A1:I91"/>
  <sheetViews>
    <sheetView tabSelected="1" topLeftCell="A68" zoomScale="79" zoomScaleNormal="79" workbookViewId="0">
      <selection activeCell="F85" sqref="F85:H86"/>
    </sheetView>
  </sheetViews>
  <sheetFormatPr baseColWidth="10" defaultRowHeight="14.25"/>
  <cols>
    <col min="1" max="1" width="53.625" customWidth="1"/>
    <col min="2" max="2" width="48.625" customWidth="1"/>
    <col min="3" max="3" width="51.125" customWidth="1"/>
    <col min="4" max="5" width="13.375" style="297" customWidth="1"/>
    <col min="6" max="6" width="14.875" customWidth="1"/>
    <col min="7" max="7" width="21.125" customWidth="1"/>
    <col min="8" max="9" width="25.625" customWidth="1"/>
  </cols>
  <sheetData>
    <row r="1" spans="1:9">
      <c r="A1" s="1"/>
      <c r="B1" s="447" t="s">
        <v>26</v>
      </c>
      <c r="C1" s="447"/>
      <c r="D1" s="447"/>
      <c r="E1" s="447"/>
      <c r="F1" s="447"/>
      <c r="G1" s="447"/>
    </row>
    <row r="2" spans="1:9">
      <c r="A2" s="1"/>
      <c r="B2" s="447"/>
      <c r="C2" s="447"/>
      <c r="D2" s="447"/>
      <c r="E2" s="447"/>
      <c r="F2" s="447"/>
      <c r="G2" s="447"/>
    </row>
    <row r="3" spans="1:9">
      <c r="A3" s="1"/>
      <c r="C3" s="1"/>
    </row>
    <row r="4" spans="1:9">
      <c r="A4" s="1"/>
      <c r="C4" s="1"/>
    </row>
    <row r="5" spans="1:9" ht="15">
      <c r="A5" s="322" t="s">
        <v>1</v>
      </c>
      <c r="B5" s="3"/>
      <c r="C5" s="448" t="s">
        <v>2</v>
      </c>
      <c r="D5" s="449"/>
      <c r="E5" s="449"/>
      <c r="F5" s="449"/>
      <c r="G5" s="450"/>
    </row>
    <row r="6" spans="1:9" ht="15">
      <c r="A6" s="322" t="s">
        <v>3</v>
      </c>
      <c r="B6" s="4"/>
      <c r="C6" s="318" t="s">
        <v>4</v>
      </c>
      <c r="D6" s="323"/>
      <c r="E6" s="323"/>
      <c r="F6" s="318" t="s">
        <v>5</v>
      </c>
      <c r="G6" s="318" t="s">
        <v>6</v>
      </c>
    </row>
    <row r="7" spans="1:9" ht="15">
      <c r="A7" s="322" t="s">
        <v>7</v>
      </c>
      <c r="B7" s="3"/>
      <c r="C7" s="321">
        <v>1</v>
      </c>
      <c r="D7" s="320"/>
      <c r="E7" s="320"/>
      <c r="F7" s="319">
        <v>0</v>
      </c>
      <c r="G7" s="318">
        <v>1</v>
      </c>
    </row>
    <row r="9" spans="1:9" ht="15" thickBot="1"/>
    <row r="10" spans="1:9" ht="15">
      <c r="A10" s="439" t="s">
        <v>27</v>
      </c>
      <c r="B10" s="439"/>
      <c r="C10" s="451"/>
      <c r="D10" s="328"/>
      <c r="E10" s="324"/>
      <c r="F10" s="452" t="s">
        <v>559</v>
      </c>
      <c r="G10" s="453"/>
      <c r="H10" s="453"/>
      <c r="I10" s="455"/>
    </row>
    <row r="11" spans="1:9" ht="15">
      <c r="A11" s="317"/>
      <c r="B11" s="317"/>
      <c r="C11" s="317"/>
      <c r="D11" s="483"/>
      <c r="E11" s="325"/>
      <c r="F11" s="480"/>
      <c r="G11" s="440"/>
      <c r="H11" s="440"/>
      <c r="I11" s="459"/>
    </row>
    <row r="12" spans="1:9" ht="15">
      <c r="A12" s="460" t="s">
        <v>8</v>
      </c>
      <c r="B12" s="460"/>
      <c r="C12" s="460"/>
      <c r="D12" s="483"/>
      <c r="E12" s="325"/>
      <c r="F12" s="11" t="s">
        <v>9</v>
      </c>
      <c r="G12" s="9" t="s">
        <v>10</v>
      </c>
      <c r="H12" s="10" t="s">
        <v>11</v>
      </c>
      <c r="I12" s="10" t="s">
        <v>12</v>
      </c>
    </row>
    <row r="13" spans="1:9" ht="15">
      <c r="A13" s="460"/>
      <c r="B13" s="460"/>
      <c r="C13" s="460"/>
      <c r="D13" s="483"/>
      <c r="E13" s="326"/>
      <c r="F13" s="449" t="s">
        <v>2</v>
      </c>
      <c r="G13" s="449"/>
      <c r="H13" s="450"/>
      <c r="I13" s="481" t="s">
        <v>0</v>
      </c>
    </row>
    <row r="14" spans="1:9" ht="15">
      <c r="A14" s="461"/>
      <c r="B14" s="461"/>
      <c r="C14" s="461"/>
      <c r="D14" s="483"/>
      <c r="E14" s="325"/>
      <c r="F14" s="316" t="s">
        <v>13</v>
      </c>
      <c r="G14" s="315" t="s">
        <v>5</v>
      </c>
      <c r="H14" s="315" t="s">
        <v>6</v>
      </c>
      <c r="I14" s="482"/>
    </row>
    <row r="15" spans="1:9" ht="15">
      <c r="A15" s="363" t="s">
        <v>558</v>
      </c>
      <c r="B15" s="364" t="s">
        <v>557</v>
      </c>
      <c r="C15" s="365"/>
      <c r="D15" s="391">
        <v>0.28000000000000003</v>
      </c>
      <c r="E15" s="30">
        <f>IF(COUNTA(F15:H15)&gt;1, "PORFAVOR MARQUE UNA SOLA OPCION", IF(OR(F15&lt;&gt;"", H15&lt;&gt;""), D15, IF(G15&lt;&gt;"", 0, 0)))</f>
        <v>0</v>
      </c>
    </row>
    <row r="16" spans="1:9" ht="36" customHeight="1">
      <c r="A16" s="421" t="s">
        <v>432</v>
      </c>
      <c r="B16" s="428" t="s">
        <v>556</v>
      </c>
      <c r="C16" s="428"/>
      <c r="D16" s="392">
        <v>1.4999999999999999E-2</v>
      </c>
      <c r="E16" s="30">
        <f t="shared" ref="E16:E79" si="0">IF(COUNTA(F16:H16)&gt;1, "PORFAVOR MARQUE UNA SOLA OPCION", IF(OR(F16&lt;&gt;"", H16&lt;&gt;""), D16, IF(G16&lt;&gt;"", 0, 0)))</f>
        <v>0</v>
      </c>
      <c r="F16" s="312"/>
      <c r="G16" s="310"/>
      <c r="H16" s="310"/>
      <c r="I16" s="309"/>
    </row>
    <row r="17" spans="1:9" ht="35.25" customHeight="1">
      <c r="A17" s="421"/>
      <c r="B17" s="428" t="s">
        <v>555</v>
      </c>
      <c r="C17" s="428"/>
      <c r="D17" s="392">
        <v>1.4999999999999999E-2</v>
      </c>
      <c r="E17" s="30">
        <f t="shared" si="0"/>
        <v>0</v>
      </c>
      <c r="F17" s="312"/>
      <c r="G17" s="310"/>
      <c r="H17" s="310"/>
      <c r="I17" s="313"/>
    </row>
    <row r="18" spans="1:9" ht="15">
      <c r="A18" s="421" t="s">
        <v>508</v>
      </c>
      <c r="B18" s="428" t="s">
        <v>429</v>
      </c>
      <c r="C18" s="428"/>
      <c r="D18" s="393">
        <v>6.6E-3</v>
      </c>
      <c r="E18" s="30">
        <f t="shared" si="0"/>
        <v>0</v>
      </c>
      <c r="F18" s="312"/>
      <c r="G18" s="310"/>
      <c r="H18" s="310"/>
      <c r="I18" s="313"/>
    </row>
    <row r="19" spans="1:9" ht="19.899999999999999" customHeight="1">
      <c r="A19" s="421"/>
      <c r="B19" s="428" t="s">
        <v>554</v>
      </c>
      <c r="C19" s="428"/>
      <c r="D19" s="393">
        <v>6.6E-3</v>
      </c>
      <c r="E19" s="30">
        <f t="shared" si="0"/>
        <v>0</v>
      </c>
      <c r="F19" s="312"/>
      <c r="G19" s="310"/>
      <c r="H19" s="310"/>
      <c r="I19" s="313"/>
    </row>
    <row r="20" spans="1:9" ht="15">
      <c r="A20" s="421"/>
      <c r="B20" s="484" t="s">
        <v>553</v>
      </c>
      <c r="C20" s="484"/>
      <c r="D20" s="393">
        <v>6.6E-3</v>
      </c>
      <c r="E20" s="30">
        <f t="shared" si="0"/>
        <v>0</v>
      </c>
      <c r="F20" s="312"/>
      <c r="G20" s="310"/>
      <c r="H20" s="310"/>
      <c r="I20" s="313"/>
    </row>
    <row r="21" spans="1:9" ht="15">
      <c r="A21" s="421"/>
      <c r="B21" s="428" t="s">
        <v>427</v>
      </c>
      <c r="C21" s="428"/>
      <c r="D21" s="393">
        <v>6.6E-3</v>
      </c>
      <c r="E21" s="30">
        <f t="shared" si="0"/>
        <v>0</v>
      </c>
      <c r="F21" s="312"/>
      <c r="G21" s="310"/>
      <c r="H21" s="310"/>
      <c r="I21" s="313"/>
    </row>
    <row r="22" spans="1:9" ht="15">
      <c r="A22" s="421"/>
      <c r="B22" s="428" t="s">
        <v>426</v>
      </c>
      <c r="C22" s="428"/>
      <c r="D22" s="393">
        <v>6.6E-3</v>
      </c>
      <c r="E22" s="30">
        <f t="shared" si="0"/>
        <v>0</v>
      </c>
      <c r="F22" s="312"/>
      <c r="G22" s="310"/>
      <c r="H22" s="310"/>
      <c r="I22" s="313"/>
    </row>
    <row r="23" spans="1:9" ht="15">
      <c r="A23" s="421"/>
      <c r="B23" s="428" t="s">
        <v>552</v>
      </c>
      <c r="C23" s="428"/>
      <c r="D23" s="393">
        <v>6.6E-3</v>
      </c>
      <c r="E23" s="30">
        <f t="shared" si="0"/>
        <v>0</v>
      </c>
      <c r="F23" s="312"/>
      <c r="G23" s="310"/>
      <c r="H23" s="310"/>
      <c r="I23" s="309"/>
    </row>
    <row r="24" spans="1:9" ht="15">
      <c r="A24" s="421" t="s">
        <v>505</v>
      </c>
      <c r="B24" s="428" t="s">
        <v>551</v>
      </c>
      <c r="C24" s="428"/>
      <c r="D24" s="394">
        <v>0.01</v>
      </c>
      <c r="E24" s="30">
        <f t="shared" si="0"/>
        <v>0</v>
      </c>
      <c r="F24" s="312"/>
      <c r="G24" s="310"/>
      <c r="H24" s="310"/>
      <c r="I24" s="313"/>
    </row>
    <row r="25" spans="1:9" ht="15">
      <c r="A25" s="421"/>
      <c r="B25" s="428" t="s">
        <v>550</v>
      </c>
      <c r="C25" s="428"/>
      <c r="D25" s="394">
        <v>0.01</v>
      </c>
      <c r="E25" s="30">
        <f t="shared" si="0"/>
        <v>0</v>
      </c>
      <c r="F25" s="312"/>
      <c r="G25" s="310"/>
      <c r="H25" s="310"/>
      <c r="I25" s="309"/>
    </row>
    <row r="26" spans="1:9" ht="15">
      <c r="A26" s="421"/>
      <c r="B26" s="428" t="s">
        <v>549</v>
      </c>
      <c r="C26" s="428"/>
      <c r="D26" s="394">
        <v>0.01</v>
      </c>
      <c r="E26" s="30">
        <f t="shared" si="0"/>
        <v>0</v>
      </c>
      <c r="F26" s="312"/>
      <c r="G26" s="310"/>
      <c r="H26" s="310"/>
      <c r="I26" s="313"/>
    </row>
    <row r="27" spans="1:9" ht="15">
      <c r="A27" s="421"/>
      <c r="B27" s="428" t="s">
        <v>548</v>
      </c>
      <c r="C27" s="428"/>
      <c r="D27" s="394">
        <v>0.01</v>
      </c>
      <c r="E27" s="30">
        <f t="shared" si="0"/>
        <v>0</v>
      </c>
      <c r="F27" s="312"/>
      <c r="G27" s="310"/>
      <c r="H27" s="310"/>
      <c r="I27" s="313"/>
    </row>
    <row r="28" spans="1:9" ht="15">
      <c r="A28" s="421"/>
      <c r="B28" s="477" t="s">
        <v>547</v>
      </c>
      <c r="C28" s="477"/>
      <c r="D28" s="394">
        <v>0.01</v>
      </c>
      <c r="E28" s="30">
        <f t="shared" si="0"/>
        <v>0</v>
      </c>
      <c r="F28" s="312"/>
      <c r="G28" s="310"/>
      <c r="H28" s="310"/>
      <c r="I28" s="313"/>
    </row>
    <row r="29" spans="1:9" ht="28.9" customHeight="1">
      <c r="A29" s="421"/>
      <c r="B29" s="395"/>
      <c r="C29" s="396" t="s">
        <v>418</v>
      </c>
      <c r="D29" s="394">
        <v>0.01</v>
      </c>
      <c r="E29" s="30">
        <f t="shared" si="0"/>
        <v>0</v>
      </c>
      <c r="F29" s="312"/>
      <c r="G29" s="310"/>
      <c r="H29" s="310"/>
      <c r="I29" s="313"/>
    </row>
    <row r="30" spans="1:9" ht="28.5">
      <c r="A30" s="421"/>
      <c r="B30" s="444" t="s">
        <v>417</v>
      </c>
      <c r="C30" s="396" t="s">
        <v>416</v>
      </c>
      <c r="D30" s="397">
        <v>0.01</v>
      </c>
      <c r="E30" s="30">
        <f t="shared" si="0"/>
        <v>0</v>
      </c>
      <c r="F30" s="312"/>
      <c r="G30" s="310"/>
      <c r="H30" s="310"/>
      <c r="I30" s="313"/>
    </row>
    <row r="31" spans="1:9" ht="28.5">
      <c r="A31" s="421"/>
      <c r="B31" s="444"/>
      <c r="C31" s="398" t="s">
        <v>415</v>
      </c>
      <c r="D31" s="397">
        <v>0.01</v>
      </c>
      <c r="E31" s="30">
        <f t="shared" si="0"/>
        <v>0</v>
      </c>
      <c r="F31" s="312"/>
      <c r="G31" s="310"/>
      <c r="H31" s="310"/>
      <c r="I31" s="313"/>
    </row>
    <row r="32" spans="1:9" ht="28.5">
      <c r="A32" s="421" t="s">
        <v>494</v>
      </c>
      <c r="B32" s="471" t="s">
        <v>423</v>
      </c>
      <c r="C32" s="396" t="s">
        <v>546</v>
      </c>
      <c r="D32" s="388">
        <v>4.3E-3</v>
      </c>
      <c r="E32" s="30">
        <f t="shared" si="0"/>
        <v>0</v>
      </c>
      <c r="F32" s="312"/>
      <c r="G32" s="310"/>
      <c r="H32" s="310"/>
      <c r="I32" s="309"/>
    </row>
    <row r="33" spans="1:9" ht="43.15" customHeight="1">
      <c r="A33" s="421"/>
      <c r="B33" s="471"/>
      <c r="C33" s="396" t="s">
        <v>545</v>
      </c>
      <c r="D33" s="388">
        <v>4.3E-3</v>
      </c>
      <c r="E33" s="30">
        <f t="shared" si="0"/>
        <v>0</v>
      </c>
      <c r="F33" s="312"/>
      <c r="G33" s="310"/>
      <c r="H33" s="310"/>
      <c r="I33" s="313"/>
    </row>
    <row r="34" spans="1:9" ht="15">
      <c r="A34" s="421"/>
      <c r="B34" s="471" t="s">
        <v>544</v>
      </c>
      <c r="C34" s="396" t="s">
        <v>543</v>
      </c>
      <c r="D34" s="388">
        <v>4.3E-3</v>
      </c>
      <c r="E34" s="30">
        <f t="shared" si="0"/>
        <v>0</v>
      </c>
      <c r="F34" s="312"/>
      <c r="G34" s="310"/>
      <c r="H34" s="310"/>
      <c r="I34" s="313"/>
    </row>
    <row r="35" spans="1:9" ht="42.75">
      <c r="A35" s="421"/>
      <c r="B35" s="471"/>
      <c r="C35" s="396" t="s">
        <v>542</v>
      </c>
      <c r="D35" s="388">
        <v>4.3E-3</v>
      </c>
      <c r="E35" s="30">
        <f t="shared" si="0"/>
        <v>0</v>
      </c>
      <c r="F35" s="312"/>
      <c r="G35" s="310"/>
      <c r="H35" s="310"/>
      <c r="I35" s="313"/>
    </row>
    <row r="36" spans="1:9" ht="43.15" customHeight="1">
      <c r="A36" s="421"/>
      <c r="B36" s="471"/>
      <c r="C36" s="396" t="s">
        <v>541</v>
      </c>
      <c r="D36" s="388">
        <v>4.3E-3</v>
      </c>
      <c r="E36" s="30">
        <f t="shared" si="0"/>
        <v>0</v>
      </c>
      <c r="F36" s="312"/>
      <c r="G36" s="310"/>
      <c r="H36" s="310"/>
      <c r="I36" s="313"/>
    </row>
    <row r="37" spans="1:9" ht="28.5">
      <c r="A37" s="421"/>
      <c r="B37" s="471" t="s">
        <v>61</v>
      </c>
      <c r="C37" s="396" t="s">
        <v>404</v>
      </c>
      <c r="D37" s="388">
        <v>4.3E-3</v>
      </c>
      <c r="E37" s="30">
        <f t="shared" si="0"/>
        <v>0</v>
      </c>
      <c r="F37" s="312"/>
      <c r="G37" s="310"/>
      <c r="H37" s="310"/>
      <c r="I37" s="313"/>
    </row>
    <row r="38" spans="1:9" ht="15">
      <c r="A38" s="421"/>
      <c r="B38" s="471"/>
      <c r="C38" s="399" t="s">
        <v>403</v>
      </c>
      <c r="D38" s="388">
        <v>4.3E-3</v>
      </c>
      <c r="E38" s="30">
        <f t="shared" si="0"/>
        <v>0</v>
      </c>
      <c r="F38" s="312"/>
      <c r="G38" s="310"/>
      <c r="H38" s="310"/>
      <c r="I38" s="313"/>
    </row>
    <row r="39" spans="1:9" ht="15">
      <c r="A39" s="421"/>
      <c r="B39" s="471"/>
      <c r="C39" s="396" t="s">
        <v>540</v>
      </c>
      <c r="D39" s="388">
        <v>4.3E-3</v>
      </c>
      <c r="E39" s="30">
        <f t="shared" si="0"/>
        <v>0</v>
      </c>
      <c r="F39" s="312"/>
      <c r="G39" s="310"/>
      <c r="H39" s="310"/>
      <c r="I39" s="313"/>
    </row>
    <row r="40" spans="1:9" ht="28.5">
      <c r="A40" s="421"/>
      <c r="B40" s="471" t="s">
        <v>400</v>
      </c>
      <c r="C40" s="396" t="s">
        <v>539</v>
      </c>
      <c r="D40" s="388">
        <v>4.3E-3</v>
      </c>
      <c r="E40" s="30">
        <f t="shared" si="0"/>
        <v>0</v>
      </c>
      <c r="F40" s="312"/>
      <c r="G40" s="310"/>
      <c r="H40" s="310"/>
      <c r="I40" s="313"/>
    </row>
    <row r="41" spans="1:9" ht="15">
      <c r="A41" s="421"/>
      <c r="B41" s="471"/>
      <c r="C41" s="396" t="s">
        <v>399</v>
      </c>
      <c r="D41" s="388">
        <v>4.3E-3</v>
      </c>
      <c r="E41" s="30">
        <f t="shared" si="0"/>
        <v>0</v>
      </c>
      <c r="F41" s="312"/>
      <c r="G41" s="310"/>
      <c r="H41" s="310"/>
      <c r="I41" s="313"/>
    </row>
    <row r="42" spans="1:9" ht="15">
      <c r="A42" s="421"/>
      <c r="B42" s="471"/>
      <c r="C42" s="400" t="s">
        <v>398</v>
      </c>
      <c r="D42" s="388">
        <v>4.3E-3</v>
      </c>
      <c r="E42" s="30">
        <f t="shared" si="0"/>
        <v>0</v>
      </c>
      <c r="F42" s="312"/>
      <c r="G42" s="310"/>
      <c r="H42" s="310"/>
      <c r="I42" s="313"/>
    </row>
    <row r="43" spans="1:9" ht="28.9" customHeight="1">
      <c r="A43" s="421"/>
      <c r="B43" s="471"/>
      <c r="C43" s="396" t="s">
        <v>538</v>
      </c>
      <c r="D43" s="388">
        <v>4.3E-3</v>
      </c>
      <c r="E43" s="30">
        <f t="shared" si="0"/>
        <v>0</v>
      </c>
      <c r="F43" s="312"/>
      <c r="G43" s="310"/>
      <c r="H43" s="310"/>
      <c r="I43" s="313"/>
    </row>
    <row r="44" spans="1:9" ht="15">
      <c r="A44" s="421"/>
      <c r="B44" s="471" t="s">
        <v>395</v>
      </c>
      <c r="C44" s="401" t="s">
        <v>69</v>
      </c>
      <c r="D44" s="388">
        <v>4.3E-3</v>
      </c>
      <c r="E44" s="30">
        <f t="shared" si="0"/>
        <v>0</v>
      </c>
      <c r="F44" s="312"/>
      <c r="G44" s="310"/>
      <c r="H44" s="310"/>
      <c r="I44" s="313"/>
    </row>
    <row r="45" spans="1:9" ht="28.5">
      <c r="A45" s="421"/>
      <c r="B45" s="471"/>
      <c r="C45" s="401" t="s">
        <v>70</v>
      </c>
      <c r="D45" s="388">
        <v>4.3E-3</v>
      </c>
      <c r="E45" s="30">
        <f t="shared" si="0"/>
        <v>0</v>
      </c>
      <c r="F45" s="312"/>
      <c r="G45" s="310"/>
      <c r="H45" s="310"/>
      <c r="I45" s="313"/>
    </row>
    <row r="46" spans="1:9" ht="28.5">
      <c r="A46" s="421"/>
      <c r="B46" s="471"/>
      <c r="C46" s="401" t="s">
        <v>71</v>
      </c>
      <c r="D46" s="388">
        <v>4.3E-3</v>
      </c>
      <c r="E46" s="30">
        <f t="shared" si="0"/>
        <v>0</v>
      </c>
      <c r="F46" s="312"/>
      <c r="G46" s="310"/>
      <c r="H46" s="310"/>
      <c r="I46" s="309"/>
    </row>
    <row r="47" spans="1:9" ht="31.15" customHeight="1">
      <c r="A47" s="421"/>
      <c r="B47" s="471"/>
      <c r="C47" s="402" t="s">
        <v>72</v>
      </c>
      <c r="D47" s="388">
        <v>4.3E-3</v>
      </c>
      <c r="E47" s="30">
        <f t="shared" si="0"/>
        <v>0</v>
      </c>
      <c r="F47" s="312"/>
      <c r="G47" s="310"/>
      <c r="H47" s="310"/>
      <c r="I47" s="313"/>
    </row>
    <row r="48" spans="1:9" ht="28.5">
      <c r="A48" s="421"/>
      <c r="B48" s="471" t="s">
        <v>537</v>
      </c>
      <c r="C48" s="403" t="s">
        <v>393</v>
      </c>
      <c r="D48" s="388">
        <v>4.3E-3</v>
      </c>
      <c r="E48" s="30">
        <f t="shared" si="0"/>
        <v>0</v>
      </c>
      <c r="F48" s="312"/>
      <c r="G48" s="310"/>
      <c r="H48" s="310"/>
      <c r="I48" s="313"/>
    </row>
    <row r="49" spans="1:9" ht="55.5" customHeight="1">
      <c r="A49" s="421"/>
      <c r="B49" s="471"/>
      <c r="C49" s="403" t="s">
        <v>536</v>
      </c>
      <c r="D49" s="388">
        <v>4.3E-3</v>
      </c>
      <c r="E49" s="30">
        <f t="shared" si="0"/>
        <v>0</v>
      </c>
      <c r="F49" s="312"/>
      <c r="G49" s="310"/>
      <c r="H49" s="310"/>
      <c r="I49" s="313"/>
    </row>
    <row r="50" spans="1:9" ht="55.5" customHeight="1">
      <c r="A50" s="421"/>
      <c r="B50" s="471"/>
      <c r="C50" s="404" t="s">
        <v>535</v>
      </c>
      <c r="D50" s="388">
        <v>4.3E-3</v>
      </c>
      <c r="E50" s="30">
        <f t="shared" si="0"/>
        <v>0</v>
      </c>
      <c r="F50" s="312"/>
      <c r="G50" s="310"/>
      <c r="H50" s="310"/>
      <c r="I50" s="313"/>
    </row>
    <row r="51" spans="1:9" ht="51.75" customHeight="1">
      <c r="A51" s="421"/>
      <c r="B51" s="413" t="s">
        <v>85</v>
      </c>
      <c r="C51" s="403" t="s">
        <v>534</v>
      </c>
      <c r="D51" s="388">
        <v>4.3E-3</v>
      </c>
      <c r="E51" s="30">
        <f t="shared" si="0"/>
        <v>0</v>
      </c>
      <c r="F51" s="312"/>
      <c r="G51" s="310"/>
      <c r="H51" s="310"/>
      <c r="I51" s="309"/>
    </row>
    <row r="52" spans="1:9" ht="57">
      <c r="A52" s="421"/>
      <c r="B52" s="414"/>
      <c r="C52" s="403" t="s">
        <v>533</v>
      </c>
      <c r="D52" s="388">
        <v>4.3E-3</v>
      </c>
      <c r="E52" s="30">
        <f t="shared" si="0"/>
        <v>0</v>
      </c>
      <c r="F52" s="312"/>
      <c r="G52" s="310"/>
      <c r="H52" s="310"/>
      <c r="I52" s="309"/>
    </row>
    <row r="53" spans="1:9" ht="15">
      <c r="A53" s="421"/>
      <c r="B53" s="414"/>
      <c r="C53" s="478" t="s">
        <v>532</v>
      </c>
      <c r="D53" s="388">
        <v>4.3E-3</v>
      </c>
      <c r="E53" s="30">
        <f t="shared" si="0"/>
        <v>0</v>
      </c>
      <c r="F53" s="312"/>
      <c r="G53" s="310"/>
      <c r="H53" s="310"/>
      <c r="I53" s="313"/>
    </row>
    <row r="54" spans="1:9" ht="15">
      <c r="A54" s="421"/>
      <c r="B54" s="414"/>
      <c r="C54" s="479"/>
      <c r="D54" s="388">
        <v>4.3E-3</v>
      </c>
      <c r="E54" s="30">
        <f t="shared" si="0"/>
        <v>0</v>
      </c>
      <c r="F54" s="312"/>
      <c r="G54" s="310"/>
      <c r="H54" s="310"/>
      <c r="I54" s="313"/>
    </row>
    <row r="55" spans="1:9" ht="15">
      <c r="A55" s="421"/>
      <c r="B55" s="385" t="s">
        <v>95</v>
      </c>
      <c r="C55" s="375" t="s">
        <v>480</v>
      </c>
      <c r="D55" s="388">
        <v>4.3E-3</v>
      </c>
      <c r="E55" s="30">
        <f t="shared" si="0"/>
        <v>0</v>
      </c>
      <c r="F55" s="312"/>
      <c r="G55" s="310"/>
      <c r="H55" s="310"/>
      <c r="I55" s="313"/>
    </row>
    <row r="56" spans="1:9" ht="30" customHeight="1">
      <c r="A56" s="384" t="s">
        <v>531</v>
      </c>
      <c r="B56" s="472" t="s">
        <v>530</v>
      </c>
      <c r="C56" s="472"/>
      <c r="D56" s="394">
        <v>0.03</v>
      </c>
      <c r="E56" s="30">
        <f t="shared" si="0"/>
        <v>0</v>
      </c>
      <c r="F56" s="312"/>
      <c r="G56" s="310"/>
      <c r="H56" s="310"/>
      <c r="I56" s="313"/>
    </row>
    <row r="57" spans="1:9" ht="15">
      <c r="A57" s="384" t="s">
        <v>529</v>
      </c>
      <c r="B57" s="472" t="s">
        <v>528</v>
      </c>
      <c r="C57" s="472"/>
      <c r="D57" s="394">
        <v>0.02</v>
      </c>
      <c r="E57" s="30">
        <f t="shared" si="0"/>
        <v>0</v>
      </c>
      <c r="F57" s="312"/>
      <c r="G57" s="310"/>
      <c r="H57" s="310"/>
      <c r="I57" s="313"/>
    </row>
    <row r="58" spans="1:9" ht="15">
      <c r="A58" s="421" t="s">
        <v>376</v>
      </c>
      <c r="B58" s="472" t="s">
        <v>375</v>
      </c>
      <c r="C58" s="472"/>
      <c r="D58" s="388">
        <v>1.66E-2</v>
      </c>
      <c r="E58" s="30">
        <f t="shared" si="0"/>
        <v>0</v>
      </c>
      <c r="F58" s="312"/>
      <c r="G58" s="310"/>
      <c r="H58" s="310"/>
      <c r="I58" s="313"/>
    </row>
    <row r="59" spans="1:9" ht="15">
      <c r="A59" s="421"/>
      <c r="B59" s="470" t="s">
        <v>374</v>
      </c>
      <c r="C59" s="470"/>
      <c r="D59" s="388">
        <v>1.66E-2</v>
      </c>
      <c r="E59" s="30">
        <f t="shared" si="0"/>
        <v>0</v>
      </c>
      <c r="F59" s="312"/>
      <c r="G59" s="310"/>
      <c r="H59" s="310"/>
      <c r="I59" s="313"/>
    </row>
    <row r="60" spans="1:9" ht="15">
      <c r="A60" s="421"/>
      <c r="B60" s="470" t="s">
        <v>527</v>
      </c>
      <c r="C60" s="470"/>
      <c r="D60" s="388">
        <v>1.66E-2</v>
      </c>
      <c r="E60" s="30">
        <f t="shared" si="0"/>
        <v>0</v>
      </c>
      <c r="F60" s="312"/>
      <c r="G60" s="310"/>
      <c r="H60" s="310"/>
      <c r="I60" s="313"/>
    </row>
    <row r="61" spans="1:9" ht="15">
      <c r="A61" s="384" t="s">
        <v>382</v>
      </c>
      <c r="B61" s="474" t="s">
        <v>381</v>
      </c>
      <c r="C61" s="474"/>
      <c r="D61" s="394">
        <v>0.03</v>
      </c>
      <c r="E61" s="30">
        <f t="shared" si="0"/>
        <v>0</v>
      </c>
      <c r="F61" s="312"/>
      <c r="G61" s="310"/>
      <c r="H61" s="310"/>
      <c r="I61" s="313"/>
    </row>
    <row r="62" spans="1:9" ht="15">
      <c r="A62" s="421" t="s">
        <v>526</v>
      </c>
      <c r="B62" s="472" t="s">
        <v>525</v>
      </c>
      <c r="C62" s="472"/>
      <c r="D62" s="388">
        <v>1.3299999999999999E-2</v>
      </c>
      <c r="E62" s="30">
        <f t="shared" si="0"/>
        <v>0</v>
      </c>
      <c r="F62" s="312"/>
      <c r="G62" s="310"/>
      <c r="H62" s="310"/>
      <c r="I62" s="309"/>
    </row>
    <row r="63" spans="1:9" ht="15">
      <c r="A63" s="421"/>
      <c r="B63" s="472" t="s">
        <v>524</v>
      </c>
      <c r="C63" s="472"/>
      <c r="D63" s="388">
        <v>1.3299999999999999E-2</v>
      </c>
      <c r="E63" s="30">
        <f t="shared" si="0"/>
        <v>0</v>
      </c>
      <c r="F63" s="312"/>
      <c r="G63" s="310"/>
      <c r="H63" s="310"/>
      <c r="I63" s="309"/>
    </row>
    <row r="64" spans="1:9" ht="15">
      <c r="A64" s="421"/>
      <c r="B64" s="472" t="s">
        <v>523</v>
      </c>
      <c r="C64" s="472"/>
      <c r="D64" s="388">
        <v>1.3299999999999999E-2</v>
      </c>
      <c r="E64" s="30">
        <f t="shared" si="0"/>
        <v>0</v>
      </c>
      <c r="F64" s="312"/>
      <c r="G64" s="310"/>
      <c r="H64" s="310"/>
      <c r="I64" s="309"/>
    </row>
    <row r="65" spans="1:9" ht="15">
      <c r="A65" s="384" t="s">
        <v>522</v>
      </c>
      <c r="B65" s="473" t="s">
        <v>521</v>
      </c>
      <c r="C65" s="473"/>
      <c r="D65" s="405">
        <v>0.02</v>
      </c>
      <c r="E65" s="30">
        <f t="shared" si="0"/>
        <v>0</v>
      </c>
      <c r="F65" s="312"/>
      <c r="G65" s="310"/>
      <c r="H65" s="310"/>
      <c r="I65" s="313"/>
    </row>
    <row r="66" spans="1:9" ht="15">
      <c r="A66" s="385" t="s">
        <v>520</v>
      </c>
      <c r="B66" s="419" t="s">
        <v>519</v>
      </c>
      <c r="C66" s="420"/>
      <c r="D66" s="386">
        <v>0.2</v>
      </c>
      <c r="E66" s="30">
        <f t="shared" si="0"/>
        <v>0</v>
      </c>
      <c r="F66" s="316"/>
      <c r="G66" s="315"/>
      <c r="H66" s="315"/>
      <c r="I66" s="314"/>
    </row>
    <row r="67" spans="1:9" ht="15">
      <c r="A67" s="421" t="s">
        <v>373</v>
      </c>
      <c r="B67" s="473" t="s">
        <v>119</v>
      </c>
      <c r="C67" s="473"/>
      <c r="D67" s="405">
        <v>0.01</v>
      </c>
      <c r="E67" s="30">
        <f t="shared" si="0"/>
        <v>0</v>
      </c>
      <c r="F67" s="312"/>
      <c r="G67" s="310"/>
      <c r="H67" s="310"/>
      <c r="I67" s="313"/>
    </row>
    <row r="68" spans="1:9" ht="15">
      <c r="A68" s="421"/>
      <c r="B68" s="473" t="s">
        <v>372</v>
      </c>
      <c r="C68" s="473"/>
      <c r="D68" s="405">
        <v>0.01</v>
      </c>
      <c r="E68" s="30">
        <f t="shared" si="0"/>
        <v>0</v>
      </c>
      <c r="F68" s="312"/>
      <c r="G68" s="310"/>
      <c r="H68" s="310"/>
      <c r="I68" s="309"/>
    </row>
    <row r="69" spans="1:9" ht="15">
      <c r="A69" s="421"/>
      <c r="B69" s="470" t="s">
        <v>121</v>
      </c>
      <c r="C69" s="470"/>
      <c r="D69" s="405">
        <v>0.01</v>
      </c>
      <c r="E69" s="30">
        <f t="shared" si="0"/>
        <v>0</v>
      </c>
      <c r="F69" s="312"/>
      <c r="G69" s="310"/>
      <c r="H69" s="310"/>
      <c r="I69" s="309"/>
    </row>
    <row r="70" spans="1:9" ht="15">
      <c r="A70" s="421"/>
      <c r="B70" s="474" t="s">
        <v>465</v>
      </c>
      <c r="C70" s="474"/>
      <c r="D70" s="405">
        <v>0.01</v>
      </c>
      <c r="E70" s="30">
        <f t="shared" si="0"/>
        <v>0</v>
      </c>
      <c r="F70" s="312"/>
      <c r="G70" s="310"/>
      <c r="H70" s="310"/>
      <c r="I70" s="309"/>
    </row>
    <row r="71" spans="1:9" ht="15">
      <c r="A71" s="421" t="s">
        <v>370</v>
      </c>
      <c r="B71" s="477" t="s">
        <v>123</v>
      </c>
      <c r="C71" s="477"/>
      <c r="D71" s="406">
        <v>3.8E-3</v>
      </c>
      <c r="E71" s="30">
        <f t="shared" si="0"/>
        <v>0</v>
      </c>
      <c r="F71" s="311"/>
      <c r="G71" s="310"/>
      <c r="H71" s="310"/>
      <c r="I71" s="309"/>
    </row>
    <row r="72" spans="1:9" ht="15">
      <c r="A72" s="421"/>
      <c r="B72" s="477" t="s">
        <v>124</v>
      </c>
      <c r="C72" s="477"/>
      <c r="D72" s="406">
        <v>3.8E-3</v>
      </c>
      <c r="E72" s="30">
        <f t="shared" si="0"/>
        <v>0</v>
      </c>
      <c r="F72" s="311"/>
      <c r="G72" s="310"/>
      <c r="H72" s="310"/>
      <c r="I72" s="309"/>
    </row>
    <row r="73" spans="1:9" ht="15">
      <c r="A73" s="421"/>
      <c r="B73" s="477" t="s">
        <v>369</v>
      </c>
      <c r="C73" s="477"/>
      <c r="D73" s="406">
        <v>3.8E-3</v>
      </c>
      <c r="E73" s="30">
        <f t="shared" si="0"/>
        <v>0</v>
      </c>
      <c r="F73" s="311"/>
      <c r="G73" s="310"/>
      <c r="H73" s="310"/>
      <c r="I73" s="309"/>
    </row>
    <row r="74" spans="1:9" ht="15">
      <c r="A74" s="421"/>
      <c r="B74" s="477" t="s">
        <v>518</v>
      </c>
      <c r="C74" s="477"/>
      <c r="D74" s="406">
        <v>3.8E-3</v>
      </c>
      <c r="E74" s="30">
        <f t="shared" si="0"/>
        <v>0</v>
      </c>
      <c r="F74" s="311"/>
      <c r="G74" s="310"/>
      <c r="H74" s="310"/>
      <c r="I74" s="309"/>
    </row>
    <row r="75" spans="1:9" ht="15">
      <c r="A75" s="421"/>
      <c r="B75" s="477" t="s">
        <v>517</v>
      </c>
      <c r="C75" s="477"/>
      <c r="D75" s="406">
        <v>3.8E-3</v>
      </c>
      <c r="E75" s="30">
        <f t="shared" si="0"/>
        <v>0</v>
      </c>
      <c r="F75" s="311"/>
      <c r="G75" s="310"/>
      <c r="H75" s="310"/>
      <c r="I75" s="309"/>
    </row>
    <row r="76" spans="1:9" ht="15">
      <c r="A76" s="421"/>
      <c r="B76" s="477" t="s">
        <v>127</v>
      </c>
      <c r="C76" s="477"/>
      <c r="D76" s="406">
        <v>3.8E-3</v>
      </c>
      <c r="E76" s="30">
        <f t="shared" si="0"/>
        <v>0</v>
      </c>
      <c r="F76" s="311"/>
      <c r="G76" s="310"/>
      <c r="H76" s="310"/>
      <c r="I76" s="309"/>
    </row>
    <row r="77" spans="1:9" ht="15">
      <c r="A77" s="421"/>
      <c r="B77" s="407" t="s">
        <v>516</v>
      </c>
      <c r="C77" s="408"/>
      <c r="D77" s="406">
        <v>3.8E-3</v>
      </c>
      <c r="E77" s="30">
        <f t="shared" si="0"/>
        <v>0</v>
      </c>
      <c r="F77" s="312"/>
      <c r="G77" s="310"/>
      <c r="H77" s="310"/>
      <c r="I77" s="309"/>
    </row>
    <row r="78" spans="1:9" ht="15">
      <c r="A78" s="421"/>
      <c r="B78" s="407" t="s">
        <v>515</v>
      </c>
      <c r="C78" s="408"/>
      <c r="D78" s="406">
        <v>3.8E-3</v>
      </c>
      <c r="E78" s="30">
        <f t="shared" si="0"/>
        <v>0</v>
      </c>
      <c r="F78" s="312"/>
      <c r="G78" s="310"/>
      <c r="H78" s="310"/>
      <c r="I78" s="309"/>
    </row>
    <row r="79" spans="1:9" ht="15">
      <c r="A79" s="421"/>
      <c r="B79" s="407" t="s">
        <v>514</v>
      </c>
      <c r="C79" s="408"/>
      <c r="D79" s="406">
        <v>3.8E-3</v>
      </c>
      <c r="E79" s="30">
        <f t="shared" si="0"/>
        <v>0</v>
      </c>
      <c r="F79" s="312"/>
      <c r="G79" s="310"/>
      <c r="H79" s="310"/>
      <c r="I79" s="309"/>
    </row>
    <row r="80" spans="1:9" ht="15">
      <c r="A80" s="421"/>
      <c r="B80" s="477" t="s">
        <v>366</v>
      </c>
      <c r="C80" s="477"/>
      <c r="D80" s="406">
        <v>3.8E-3</v>
      </c>
      <c r="E80" s="30">
        <f t="shared" ref="E80:E84" si="1">IF(COUNTA(F80:H80)&gt;1, "PORFAVOR MARQUE UNA SOLA OPCION", IF(OR(F80&lt;&gt;"", H80&lt;&gt;""), D80, IF(G80&lt;&gt;"", 0, 0)))</f>
        <v>0</v>
      </c>
      <c r="F80" s="311"/>
      <c r="G80" s="310"/>
      <c r="H80" s="310"/>
      <c r="I80" s="309"/>
    </row>
    <row r="81" spans="1:9" ht="15">
      <c r="A81" s="421"/>
      <c r="B81" s="477" t="s">
        <v>365</v>
      </c>
      <c r="C81" s="477"/>
      <c r="D81" s="406">
        <v>3.8E-3</v>
      </c>
      <c r="E81" s="30">
        <f t="shared" si="1"/>
        <v>0</v>
      </c>
      <c r="F81" s="311"/>
      <c r="G81" s="310"/>
      <c r="H81" s="310"/>
      <c r="I81" s="309"/>
    </row>
    <row r="82" spans="1:9" ht="15">
      <c r="A82" s="421"/>
      <c r="B82" s="477" t="s">
        <v>364</v>
      </c>
      <c r="C82" s="477"/>
      <c r="D82" s="406">
        <v>3.8E-3</v>
      </c>
      <c r="E82" s="30">
        <f t="shared" si="1"/>
        <v>0</v>
      </c>
      <c r="F82" s="311"/>
      <c r="G82" s="310"/>
      <c r="H82" s="310"/>
      <c r="I82" s="309"/>
    </row>
    <row r="83" spans="1:9" ht="15">
      <c r="A83" s="421"/>
      <c r="B83" s="407" t="s">
        <v>513</v>
      </c>
      <c r="C83" s="408"/>
      <c r="D83" s="406">
        <v>3.8E-3</v>
      </c>
      <c r="E83" s="30">
        <f t="shared" si="1"/>
        <v>0</v>
      </c>
      <c r="F83" s="311"/>
      <c r="G83" s="310"/>
      <c r="H83" s="310"/>
      <c r="I83" s="309"/>
    </row>
    <row r="84" spans="1:9" ht="15">
      <c r="A84" s="421" t="s">
        <v>512</v>
      </c>
      <c r="B84" s="421"/>
      <c r="C84" s="421"/>
      <c r="D84" s="405">
        <f>SUM(D15:D83)</f>
        <v>1.0119000000000005</v>
      </c>
      <c r="E84" s="30">
        <f t="shared" si="1"/>
        <v>0</v>
      </c>
      <c r="F84" s="308"/>
      <c r="G84" s="307"/>
      <c r="H84" s="307"/>
      <c r="I84" s="306"/>
    </row>
    <row r="85" spans="1:9" ht="21" customHeight="1">
      <c r="A85" s="465" t="s">
        <v>14</v>
      </c>
      <c r="B85" s="465"/>
      <c r="C85" s="465"/>
      <c r="D85" s="305"/>
      <c r="E85" s="327"/>
      <c r="F85" s="304">
        <f>COUNT(F16:F84)</f>
        <v>0</v>
      </c>
      <c r="G85" s="304">
        <f>COUNT(G16:G84)</f>
        <v>0</v>
      </c>
      <c r="H85" s="304">
        <f>COUNT(H16:H84)</f>
        <v>0</v>
      </c>
      <c r="I85" s="81"/>
    </row>
    <row r="86" spans="1:9" ht="15">
      <c r="A86" s="467"/>
      <c r="B86" s="467"/>
      <c r="C86" s="467"/>
      <c r="D86" s="303"/>
      <c r="E86" s="327"/>
      <c r="F86" s="463">
        <f>IFERROR((F85/((F85+G85+H85)-H85)),0)</f>
        <v>0</v>
      </c>
      <c r="G86" s="463"/>
      <c r="H86" s="464"/>
      <c r="I86" s="12"/>
    </row>
    <row r="88" spans="1:9" ht="15">
      <c r="A88" s="302" t="s">
        <v>20</v>
      </c>
      <c r="B88" s="16" t="s">
        <v>15</v>
      </c>
      <c r="C88" s="24"/>
      <c r="D88" s="301"/>
      <c r="E88" s="301"/>
      <c r="F88" s="25"/>
      <c r="G88" s="25"/>
      <c r="H88" s="26"/>
    </row>
    <row r="89" spans="1:9" ht="15">
      <c r="A89" s="300" t="s">
        <v>21</v>
      </c>
      <c r="B89" s="475" t="s">
        <v>22</v>
      </c>
      <c r="C89" s="476"/>
      <c r="D89" s="476"/>
      <c r="E89" s="476"/>
      <c r="F89" s="476"/>
      <c r="G89" s="476"/>
      <c r="H89" s="476"/>
    </row>
    <row r="90" spans="1:9" ht="15">
      <c r="A90" s="299" t="s">
        <v>23</v>
      </c>
      <c r="B90" s="475" t="s">
        <v>16</v>
      </c>
      <c r="C90" s="475"/>
      <c r="D90" s="475"/>
      <c r="E90" s="475"/>
      <c r="F90" s="475"/>
      <c r="G90" s="475"/>
      <c r="H90" s="475"/>
    </row>
    <row r="91" spans="1:9" ht="15">
      <c r="A91" s="298" t="s">
        <v>17</v>
      </c>
      <c r="B91" s="475" t="s">
        <v>18</v>
      </c>
      <c r="C91" s="475"/>
      <c r="D91" s="475"/>
      <c r="E91" s="475"/>
      <c r="F91" s="475"/>
      <c r="G91" s="475"/>
      <c r="H91" s="475"/>
    </row>
  </sheetData>
  <mergeCells count="69">
    <mergeCell ref="A24:A31"/>
    <mergeCell ref="B24:C24"/>
    <mergeCell ref="B25:C25"/>
    <mergeCell ref="B26:C26"/>
    <mergeCell ref="B27:C27"/>
    <mergeCell ref="B28:C28"/>
    <mergeCell ref="B30:B31"/>
    <mergeCell ref="A16:A17"/>
    <mergeCell ref="A18:A23"/>
    <mergeCell ref="A10:C10"/>
    <mergeCell ref="F10:I10"/>
    <mergeCell ref="F11:I11"/>
    <mergeCell ref="A12:C14"/>
    <mergeCell ref="F13:H13"/>
    <mergeCell ref="I13:I14"/>
    <mergeCell ref="D11:D14"/>
    <mergeCell ref="B16:C16"/>
    <mergeCell ref="B17:C17"/>
    <mergeCell ref="B18:C18"/>
    <mergeCell ref="B19:C19"/>
    <mergeCell ref="B20:C20"/>
    <mergeCell ref="B90:H90"/>
    <mergeCell ref="B91:H91"/>
    <mergeCell ref="B1:G2"/>
    <mergeCell ref="C5:G5"/>
    <mergeCell ref="B75:C75"/>
    <mergeCell ref="B76:C76"/>
    <mergeCell ref="B80:C80"/>
    <mergeCell ref="B81:C81"/>
    <mergeCell ref="B82:C82"/>
    <mergeCell ref="B65:C65"/>
    <mergeCell ref="B34:B36"/>
    <mergeCell ref="B37:B39"/>
    <mergeCell ref="B66:C66"/>
    <mergeCell ref="B89:H89"/>
    <mergeCell ref="A85:C86"/>
    <mergeCell ref="A71:A83"/>
    <mergeCell ref="B71:C71"/>
    <mergeCell ref="B72:C72"/>
    <mergeCell ref="B73:C73"/>
    <mergeCell ref="B74:C74"/>
    <mergeCell ref="F86:H86"/>
    <mergeCell ref="A84:C84"/>
    <mergeCell ref="A67:A70"/>
    <mergeCell ref="B67:C67"/>
    <mergeCell ref="B68:C68"/>
    <mergeCell ref="B69:C69"/>
    <mergeCell ref="B70:C70"/>
    <mergeCell ref="A62:A64"/>
    <mergeCell ref="B62:C62"/>
    <mergeCell ref="B63:C63"/>
    <mergeCell ref="B64:C64"/>
    <mergeCell ref="A32:A55"/>
    <mergeCell ref="A58:A60"/>
    <mergeCell ref="B58:C58"/>
    <mergeCell ref="B59:C59"/>
    <mergeCell ref="B56:C56"/>
    <mergeCell ref="B57:C57"/>
    <mergeCell ref="B61:C61"/>
    <mergeCell ref="C53:C54"/>
    <mergeCell ref="B51:B54"/>
    <mergeCell ref="B40:B43"/>
    <mergeCell ref="B60:C60"/>
    <mergeCell ref="B44:B47"/>
    <mergeCell ref="B48:B50"/>
    <mergeCell ref="B32:B33"/>
    <mergeCell ref="B21:C21"/>
    <mergeCell ref="B22:C22"/>
    <mergeCell ref="B23:C23"/>
  </mergeCells>
  <conditionalFormatting sqref="F86:H86">
    <cfRule type="colorScale" priority="8">
      <colorScale>
        <cfvo type="num" val="0.5"/>
        <cfvo type="num" val="0.7"/>
        <cfvo type="num" val="1"/>
        <color rgb="FFFF0000"/>
        <color rgb="FFFFEB84"/>
        <color theme="9" tint="-0.249977111117893"/>
      </colorScale>
    </cfRule>
  </conditionalFormatting>
  <conditionalFormatting sqref="E15:E84">
    <cfRule type="cellIs" dxfId="26" priority="1" operator="equal">
      <formula>0</formula>
    </cfRule>
    <cfRule type="containsText" dxfId="25" priority="2" operator="containsText" text="PORFAVOR MARQUE UNA SOLA OPCION">
      <formula>NOT(ISERROR(SEARCH("PORFAVOR MARQUE UNA SOLA OPCION",E15)))</formula>
    </cfRule>
    <cfRule type="cellIs" dxfId="24" priority="3" operator="greaterThan">
      <formula>0</formula>
    </cfRule>
  </conditionalFormatting>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E2ED-E733-46DC-8794-327D951D43DD}">
  <dimension ref="A1:J82"/>
  <sheetViews>
    <sheetView topLeftCell="A74" zoomScaleNormal="100" workbookViewId="0">
      <selection activeCell="J76" sqref="J76"/>
    </sheetView>
  </sheetViews>
  <sheetFormatPr baseColWidth="10" defaultColWidth="16.5" defaultRowHeight="50.45" customHeight="1"/>
  <cols>
    <col min="1" max="1" width="24.125" customWidth="1"/>
    <col min="4" max="5" width="16.5" style="27"/>
  </cols>
  <sheetData>
    <row r="1" spans="1:10" ht="50.45" customHeight="1">
      <c r="A1" s="1"/>
      <c r="B1" s="447" t="s">
        <v>26</v>
      </c>
      <c r="C1" s="447"/>
      <c r="D1" s="447"/>
      <c r="E1" s="447"/>
      <c r="F1" s="447"/>
      <c r="G1" s="447"/>
    </row>
    <row r="2" spans="1:10" ht="50.45" customHeight="1">
      <c r="A2" s="1"/>
      <c r="B2" s="447"/>
      <c r="C2" s="447"/>
      <c r="D2" s="447"/>
      <c r="E2" s="447"/>
      <c r="F2" s="447"/>
      <c r="G2" s="447"/>
    </row>
    <row r="3" spans="1:10" ht="50.45" customHeight="1">
      <c r="A3" s="1"/>
      <c r="C3" s="1"/>
    </row>
    <row r="4" spans="1:10" ht="50.45" customHeight="1">
      <c r="A4" s="1"/>
      <c r="C4" s="1"/>
    </row>
    <row r="5" spans="1:10" ht="50.45" customHeight="1">
      <c r="A5" s="322" t="s">
        <v>1</v>
      </c>
      <c r="B5" s="3"/>
      <c r="C5" s="448" t="s">
        <v>2</v>
      </c>
      <c r="D5" s="449"/>
      <c r="E5" s="449"/>
      <c r="F5" s="449"/>
      <c r="G5" s="450"/>
    </row>
    <row r="6" spans="1:10" ht="50.45" customHeight="1">
      <c r="A6" s="322" t="s">
        <v>3</v>
      </c>
      <c r="B6" s="4"/>
      <c r="C6" s="318" t="s">
        <v>4</v>
      </c>
      <c r="D6" s="318"/>
      <c r="E6" s="318"/>
      <c r="F6" s="318" t="s">
        <v>5</v>
      </c>
      <c r="G6" s="318" t="s">
        <v>6</v>
      </c>
    </row>
    <row r="7" spans="1:10" ht="50.45" customHeight="1">
      <c r="A7" s="322" t="s">
        <v>7</v>
      </c>
      <c r="B7" s="3"/>
      <c r="C7" s="321">
        <v>1</v>
      </c>
      <c r="D7" s="321"/>
      <c r="E7" s="321"/>
      <c r="F7" s="319">
        <v>0</v>
      </c>
      <c r="G7" s="318">
        <v>1</v>
      </c>
    </row>
    <row r="9" spans="1:10" ht="50.45" customHeight="1" thickBot="1"/>
    <row r="10" spans="1:10" ht="50.45" customHeight="1">
      <c r="A10" s="439" t="s">
        <v>27</v>
      </c>
      <c r="B10" s="439"/>
      <c r="C10" s="451"/>
      <c r="D10" s="360"/>
      <c r="E10" s="357"/>
      <c r="F10" s="452" t="s">
        <v>580</v>
      </c>
      <c r="G10" s="453"/>
      <c r="H10" s="453"/>
      <c r="I10" s="454"/>
      <c r="J10" s="455"/>
    </row>
    <row r="11" spans="1:10" ht="50.45" customHeight="1">
      <c r="A11" s="317"/>
      <c r="B11" s="359"/>
      <c r="C11" s="317"/>
      <c r="D11" s="317"/>
      <c r="E11" s="317"/>
      <c r="F11" s="457"/>
      <c r="G11" s="440"/>
      <c r="H11" s="440"/>
      <c r="I11" s="458"/>
      <c r="J11" s="459"/>
    </row>
    <row r="12" spans="1:10" ht="50.45" customHeight="1">
      <c r="A12" s="460" t="s">
        <v>8</v>
      </c>
      <c r="B12" s="460"/>
      <c r="C12" s="460"/>
      <c r="D12" s="317"/>
      <c r="E12" s="317"/>
      <c r="F12" s="9" t="s">
        <v>9</v>
      </c>
      <c r="G12" s="9" t="s">
        <v>10</v>
      </c>
      <c r="H12" s="10" t="s">
        <v>11</v>
      </c>
      <c r="I12" s="10"/>
      <c r="J12" s="10" t="s">
        <v>12</v>
      </c>
    </row>
    <row r="13" spans="1:10" ht="50.45" customHeight="1">
      <c r="A13" s="460"/>
      <c r="B13" s="460"/>
      <c r="C13" s="460"/>
      <c r="D13" s="317"/>
      <c r="E13" s="317"/>
      <c r="F13" s="448" t="s">
        <v>2</v>
      </c>
      <c r="G13" s="449"/>
      <c r="H13" s="450"/>
      <c r="I13" s="358"/>
      <c r="J13" s="439" t="s">
        <v>0</v>
      </c>
    </row>
    <row r="14" spans="1:10" ht="50.45" customHeight="1">
      <c r="A14" s="461"/>
      <c r="B14" s="461"/>
      <c r="C14" s="461"/>
      <c r="D14" s="357"/>
      <c r="E14" s="357"/>
      <c r="F14" s="315" t="s">
        <v>13</v>
      </c>
      <c r="G14" s="315" t="s">
        <v>5</v>
      </c>
      <c r="H14" s="315" t="s">
        <v>6</v>
      </c>
      <c r="I14" s="356" t="s">
        <v>579</v>
      </c>
      <c r="J14" s="440"/>
    </row>
    <row r="15" spans="1:10" ht="49.9" customHeight="1">
      <c r="A15" s="363" t="s">
        <v>558</v>
      </c>
      <c r="B15" s="364" t="s">
        <v>578</v>
      </c>
      <c r="C15" s="365"/>
      <c r="D15" s="366">
        <v>0.28000000000000003</v>
      </c>
      <c r="E15" s="30" t="str">
        <f>IF(COUNTA(F15:H15)&gt;1, "PORFAVOR MARQUE UNA SOLA OPCION", IF(OR(F15&lt;&gt;"", H15&lt;&gt;""), D15, IF(G15&lt;&gt;"", 0, 0)))</f>
        <v>PORFAVOR MARQUE UNA SOLA OPCION</v>
      </c>
      <c r="F15" s="311">
        <v>1</v>
      </c>
      <c r="G15" s="315">
        <v>1</v>
      </c>
      <c r="H15" s="315"/>
      <c r="I15" s="314"/>
    </row>
    <row r="16" spans="1:10" ht="50.45" customHeight="1">
      <c r="A16" s="411" t="s">
        <v>432</v>
      </c>
      <c r="B16" s="456" t="s">
        <v>577</v>
      </c>
      <c r="C16" s="422"/>
      <c r="D16" s="367">
        <v>1.4999999999999999E-2</v>
      </c>
      <c r="E16" s="30">
        <f t="shared" ref="E16:E67" si="0">IF(COUNTA(F16:H16)&gt;1, "PORFAVOR MARQUE UNA SOLA OPCION", IF(OR(F16&lt;&gt;"", H16&lt;&gt;""), D16, IF(G16&lt;&gt;"", 0, 0)))</f>
        <v>1.4999999999999999E-2</v>
      </c>
      <c r="F16" s="308">
        <v>1</v>
      </c>
      <c r="G16" s="310"/>
      <c r="H16" s="310"/>
      <c r="I16" s="353"/>
      <c r="J16" s="355"/>
    </row>
    <row r="17" spans="1:10" ht="50.45" customHeight="1">
      <c r="A17" s="427"/>
      <c r="B17" s="456" t="s">
        <v>576</v>
      </c>
      <c r="C17" s="422"/>
      <c r="D17" s="367">
        <v>1.4999999999999999E-2</v>
      </c>
      <c r="E17" s="30">
        <f t="shared" si="0"/>
        <v>1.4999999999999999E-2</v>
      </c>
      <c r="F17" s="311">
        <v>1</v>
      </c>
      <c r="G17" s="310"/>
      <c r="H17" s="310"/>
      <c r="I17" s="353"/>
      <c r="J17" s="352"/>
    </row>
    <row r="18" spans="1:10" ht="50.45" customHeight="1">
      <c r="A18" s="411" t="s">
        <v>218</v>
      </c>
      <c r="B18" s="428" t="s">
        <v>429</v>
      </c>
      <c r="C18" s="429"/>
      <c r="D18" s="368">
        <v>0.01</v>
      </c>
      <c r="E18" s="30">
        <f t="shared" si="0"/>
        <v>0.01</v>
      </c>
      <c r="F18" s="311">
        <v>1</v>
      </c>
      <c r="G18" s="310"/>
      <c r="H18" s="310"/>
      <c r="I18" s="353"/>
      <c r="J18" s="352"/>
    </row>
    <row r="19" spans="1:10" ht="50.45" customHeight="1">
      <c r="A19" s="412"/>
      <c r="B19" s="428" t="s">
        <v>554</v>
      </c>
      <c r="C19" s="429"/>
      <c r="D19" s="368">
        <v>0.01</v>
      </c>
      <c r="E19" s="30">
        <f t="shared" si="0"/>
        <v>0.01</v>
      </c>
      <c r="F19" s="311">
        <v>1</v>
      </c>
      <c r="G19" s="310"/>
      <c r="H19" s="310"/>
      <c r="I19" s="353"/>
      <c r="J19" s="352"/>
    </row>
    <row r="20" spans="1:10" ht="50.45" customHeight="1">
      <c r="A20" s="412"/>
      <c r="B20" s="429" t="s">
        <v>427</v>
      </c>
      <c r="C20" s="430"/>
      <c r="D20" s="368">
        <v>0.01</v>
      </c>
      <c r="E20" s="30">
        <f t="shared" si="0"/>
        <v>0.01</v>
      </c>
      <c r="F20" s="311">
        <v>1</v>
      </c>
      <c r="G20" s="310"/>
      <c r="H20" s="310"/>
      <c r="I20" s="353"/>
      <c r="J20" s="354"/>
    </row>
    <row r="21" spans="1:10" ht="50.45" customHeight="1">
      <c r="A21" s="412"/>
      <c r="B21" s="429" t="s">
        <v>426</v>
      </c>
      <c r="C21" s="430"/>
      <c r="D21" s="368">
        <v>0.01</v>
      </c>
      <c r="E21" s="30">
        <f t="shared" si="0"/>
        <v>0.01</v>
      </c>
      <c r="F21" s="311">
        <v>1</v>
      </c>
      <c r="G21" s="310"/>
      <c r="H21" s="310"/>
      <c r="I21" s="353"/>
      <c r="J21" s="354"/>
    </row>
    <row r="22" spans="1:10" ht="50.45" customHeight="1">
      <c r="A22" s="427"/>
      <c r="B22" s="428" t="s">
        <v>575</v>
      </c>
      <c r="C22" s="429"/>
      <c r="D22" s="368">
        <v>0.01</v>
      </c>
      <c r="E22" s="30">
        <f t="shared" si="0"/>
        <v>0.01</v>
      </c>
      <c r="F22" s="311">
        <v>1</v>
      </c>
      <c r="G22" s="310"/>
      <c r="H22" s="310"/>
      <c r="I22" s="353"/>
      <c r="J22" s="352"/>
    </row>
    <row r="23" spans="1:10" ht="50.45" customHeight="1">
      <c r="A23" s="411" t="s">
        <v>574</v>
      </c>
      <c r="B23" s="441" t="s">
        <v>419</v>
      </c>
      <c r="C23" s="369" t="s">
        <v>51</v>
      </c>
      <c r="D23" s="368">
        <v>0.01</v>
      </c>
      <c r="E23" s="30">
        <f t="shared" si="0"/>
        <v>0.01</v>
      </c>
      <c r="F23" s="311">
        <v>1</v>
      </c>
      <c r="G23" s="310"/>
      <c r="H23" s="310"/>
      <c r="I23" s="353"/>
      <c r="J23" s="352"/>
    </row>
    <row r="24" spans="1:10" ht="50.45" customHeight="1">
      <c r="A24" s="412"/>
      <c r="B24" s="441"/>
      <c r="C24" s="370" t="s">
        <v>418</v>
      </c>
      <c r="D24" s="368">
        <v>0.01</v>
      </c>
      <c r="E24" s="30">
        <f t="shared" si="0"/>
        <v>0.01</v>
      </c>
      <c r="F24" s="311">
        <v>1</v>
      </c>
      <c r="G24" s="310"/>
      <c r="H24" s="310"/>
      <c r="I24" s="353"/>
      <c r="J24" s="352"/>
    </row>
    <row r="25" spans="1:10" ht="50.45" customHeight="1">
      <c r="A25" s="412"/>
      <c r="B25" s="441" t="s">
        <v>417</v>
      </c>
      <c r="C25" s="370" t="s">
        <v>573</v>
      </c>
      <c r="D25" s="368">
        <v>0.01</v>
      </c>
      <c r="E25" s="30">
        <f t="shared" si="0"/>
        <v>0.01</v>
      </c>
      <c r="F25" s="311">
        <v>1</v>
      </c>
      <c r="G25" s="310"/>
      <c r="H25" s="310"/>
      <c r="I25" s="353"/>
      <c r="J25" s="352"/>
    </row>
    <row r="26" spans="1:10" ht="50.45" customHeight="1">
      <c r="A26" s="412"/>
      <c r="B26" s="441"/>
      <c r="C26" s="371" t="s">
        <v>415</v>
      </c>
      <c r="D26" s="368">
        <v>0.01</v>
      </c>
      <c r="E26" s="30">
        <f t="shared" si="0"/>
        <v>0.01</v>
      </c>
      <c r="F26" s="311">
        <v>1</v>
      </c>
      <c r="G26" s="310"/>
      <c r="H26" s="310"/>
      <c r="I26" s="353"/>
      <c r="J26" s="352"/>
    </row>
    <row r="27" spans="1:10" ht="50.45" customHeight="1">
      <c r="A27" s="412"/>
      <c r="B27" s="442" t="s">
        <v>414</v>
      </c>
      <c r="C27" s="372" t="s">
        <v>413</v>
      </c>
      <c r="D27" s="368">
        <v>0.01</v>
      </c>
      <c r="E27" s="30">
        <f t="shared" si="0"/>
        <v>0.01</v>
      </c>
      <c r="F27" s="311">
        <v>1</v>
      </c>
      <c r="G27" s="310"/>
      <c r="H27" s="310"/>
      <c r="I27" s="353"/>
      <c r="J27" s="352"/>
    </row>
    <row r="28" spans="1:10" ht="50.45" customHeight="1">
      <c r="A28" s="427"/>
      <c r="B28" s="442"/>
      <c r="C28" s="372" t="s">
        <v>412</v>
      </c>
      <c r="D28" s="368">
        <v>0.01</v>
      </c>
      <c r="E28" s="30">
        <f t="shared" si="0"/>
        <v>0.01</v>
      </c>
      <c r="F28" s="311">
        <v>1</v>
      </c>
      <c r="G28" s="310"/>
      <c r="H28" s="310"/>
      <c r="I28" s="353"/>
      <c r="J28" s="352"/>
    </row>
    <row r="29" spans="1:10" ht="50.45" customHeight="1">
      <c r="A29" s="443" t="s">
        <v>572</v>
      </c>
      <c r="B29" s="411" t="s">
        <v>571</v>
      </c>
      <c r="C29" s="370" t="s">
        <v>546</v>
      </c>
      <c r="D29" s="368">
        <v>5.0000000000000001E-3</v>
      </c>
      <c r="E29" s="30">
        <f t="shared" si="0"/>
        <v>5.0000000000000001E-3</v>
      </c>
      <c r="F29" s="311">
        <v>1</v>
      </c>
      <c r="G29" s="310"/>
      <c r="H29" s="310"/>
      <c r="I29" s="353"/>
      <c r="J29" s="354"/>
    </row>
    <row r="30" spans="1:10" ht="50.45" customHeight="1">
      <c r="A30" s="443"/>
      <c r="B30" s="412"/>
      <c r="C30" s="373" t="s">
        <v>570</v>
      </c>
      <c r="D30" s="368">
        <v>5.0000000000000001E-3</v>
      </c>
      <c r="E30" s="30">
        <f t="shared" si="0"/>
        <v>5.0000000000000001E-3</v>
      </c>
      <c r="F30" s="311">
        <v>1</v>
      </c>
      <c r="G30" s="310"/>
      <c r="H30" s="310"/>
      <c r="I30" s="353"/>
      <c r="J30" s="352"/>
    </row>
    <row r="31" spans="1:10" ht="50.45" customHeight="1">
      <c r="A31" s="443"/>
      <c r="B31" s="413" t="s">
        <v>544</v>
      </c>
      <c r="C31" s="370" t="s">
        <v>569</v>
      </c>
      <c r="D31" s="368">
        <v>5.0000000000000001E-3</v>
      </c>
      <c r="E31" s="30">
        <f t="shared" si="0"/>
        <v>5.0000000000000001E-3</v>
      </c>
      <c r="F31" s="311">
        <v>1</v>
      </c>
      <c r="G31" s="310"/>
      <c r="H31" s="310"/>
      <c r="I31" s="353"/>
      <c r="J31" s="352"/>
    </row>
    <row r="32" spans="1:10" ht="50.45" customHeight="1">
      <c r="A32" s="443"/>
      <c r="B32" s="414"/>
      <c r="C32" s="374" t="s">
        <v>410</v>
      </c>
      <c r="D32" s="368">
        <v>5.0000000000000001E-3</v>
      </c>
      <c r="E32" s="30">
        <f t="shared" si="0"/>
        <v>5.0000000000000001E-3</v>
      </c>
      <c r="F32" s="311">
        <v>1</v>
      </c>
      <c r="G32" s="310"/>
      <c r="H32" s="310"/>
      <c r="I32" s="353"/>
      <c r="J32" s="352"/>
    </row>
    <row r="33" spans="1:10" ht="50.45" customHeight="1">
      <c r="A33" s="443"/>
      <c r="B33" s="414"/>
      <c r="C33" s="370" t="s">
        <v>541</v>
      </c>
      <c r="D33" s="368">
        <v>5.0000000000000001E-3</v>
      </c>
      <c r="E33" s="30">
        <f t="shared" si="0"/>
        <v>5.0000000000000001E-3</v>
      </c>
      <c r="F33" s="311">
        <v>1</v>
      </c>
      <c r="G33" s="310"/>
      <c r="H33" s="310"/>
      <c r="I33" s="353"/>
      <c r="J33" s="352"/>
    </row>
    <row r="34" spans="1:10" ht="50.45" customHeight="1">
      <c r="A34" s="443"/>
      <c r="B34" s="414"/>
      <c r="C34" s="375" t="s">
        <v>542</v>
      </c>
      <c r="D34" s="368">
        <v>5.0000000000000001E-3</v>
      </c>
      <c r="E34" s="30">
        <f t="shared" si="0"/>
        <v>5.0000000000000001E-3</v>
      </c>
      <c r="F34" s="311">
        <v>1</v>
      </c>
      <c r="G34" s="310"/>
      <c r="H34" s="310"/>
      <c r="I34" s="353"/>
      <c r="J34" s="352"/>
    </row>
    <row r="35" spans="1:10" ht="50.45" customHeight="1">
      <c r="A35" s="443"/>
      <c r="B35" s="417" t="s">
        <v>61</v>
      </c>
      <c r="C35" s="370" t="s">
        <v>404</v>
      </c>
      <c r="D35" s="368">
        <v>5.0000000000000001E-3</v>
      </c>
      <c r="E35" s="30">
        <f t="shared" si="0"/>
        <v>5.0000000000000001E-3</v>
      </c>
      <c r="F35" s="311">
        <v>1</v>
      </c>
      <c r="G35" s="310"/>
      <c r="H35" s="310"/>
      <c r="I35" s="353"/>
      <c r="J35" s="352"/>
    </row>
    <row r="36" spans="1:10" ht="50.45" customHeight="1">
      <c r="A36" s="443"/>
      <c r="B36" s="418"/>
      <c r="C36" s="376" t="s">
        <v>403</v>
      </c>
      <c r="D36" s="368">
        <v>5.0000000000000001E-3</v>
      </c>
      <c r="E36" s="30">
        <f t="shared" si="0"/>
        <v>5.0000000000000001E-3</v>
      </c>
      <c r="F36" s="311">
        <v>1</v>
      </c>
      <c r="G36" s="310"/>
      <c r="H36" s="310"/>
      <c r="I36" s="353"/>
      <c r="J36" s="352"/>
    </row>
    <row r="37" spans="1:10" ht="50.45" customHeight="1">
      <c r="A37" s="443"/>
      <c r="B37" s="418"/>
      <c r="C37" s="375" t="s">
        <v>540</v>
      </c>
      <c r="D37" s="368">
        <v>5.0000000000000001E-3</v>
      </c>
      <c r="E37" s="30">
        <f t="shared" si="0"/>
        <v>5.0000000000000001E-3</v>
      </c>
      <c r="F37" s="311">
        <v>1</v>
      </c>
      <c r="G37" s="310"/>
      <c r="H37" s="310"/>
      <c r="I37" s="353"/>
      <c r="J37" s="352"/>
    </row>
    <row r="38" spans="1:10" ht="50.45" customHeight="1">
      <c r="A38" s="443"/>
      <c r="B38" s="417" t="s">
        <v>400</v>
      </c>
      <c r="C38" s="370" t="s">
        <v>399</v>
      </c>
      <c r="D38" s="368">
        <v>5.0000000000000001E-3</v>
      </c>
      <c r="E38" s="30">
        <f t="shared" si="0"/>
        <v>5.0000000000000001E-3</v>
      </c>
      <c r="F38" s="311">
        <v>1</v>
      </c>
      <c r="G38" s="310"/>
      <c r="H38" s="310"/>
      <c r="I38" s="353"/>
      <c r="J38" s="352"/>
    </row>
    <row r="39" spans="1:10" ht="50.45" customHeight="1">
      <c r="A39" s="443"/>
      <c r="B39" s="418"/>
      <c r="C39" s="369" t="s">
        <v>398</v>
      </c>
      <c r="D39" s="368">
        <v>5.0000000000000001E-3</v>
      </c>
      <c r="E39" s="30">
        <f t="shared" si="0"/>
        <v>5.0000000000000001E-3</v>
      </c>
      <c r="F39" s="311">
        <v>1</v>
      </c>
      <c r="G39" s="310"/>
      <c r="H39" s="310"/>
      <c r="I39" s="353"/>
      <c r="J39" s="352"/>
    </row>
    <row r="40" spans="1:10" ht="50.45" customHeight="1">
      <c r="A40" s="443"/>
      <c r="B40" s="418"/>
      <c r="C40" s="374" t="s">
        <v>538</v>
      </c>
      <c r="D40" s="368">
        <v>5.0000000000000001E-3</v>
      </c>
      <c r="E40" s="30">
        <f t="shared" si="0"/>
        <v>5.0000000000000001E-3</v>
      </c>
      <c r="F40" s="311">
        <v>1</v>
      </c>
      <c r="G40" s="310"/>
      <c r="H40" s="310"/>
      <c r="I40" s="353"/>
      <c r="J40" s="352"/>
    </row>
    <row r="41" spans="1:10" ht="50.45" customHeight="1">
      <c r="A41" s="443"/>
      <c r="B41" s="413" t="s">
        <v>395</v>
      </c>
      <c r="C41" s="377" t="s">
        <v>69</v>
      </c>
      <c r="D41" s="368">
        <v>5.0000000000000001E-3</v>
      </c>
      <c r="E41" s="30">
        <f t="shared" si="0"/>
        <v>5.0000000000000001E-3</v>
      </c>
      <c r="F41" s="311">
        <v>1</v>
      </c>
      <c r="G41" s="310"/>
      <c r="H41" s="310"/>
      <c r="I41" s="353"/>
      <c r="J41" s="352"/>
    </row>
    <row r="42" spans="1:10" ht="50.45" customHeight="1">
      <c r="A42" s="443"/>
      <c r="B42" s="414"/>
      <c r="C42" s="378" t="s">
        <v>568</v>
      </c>
      <c r="D42" s="368">
        <v>5.0000000000000001E-3</v>
      </c>
      <c r="E42" s="30">
        <f t="shared" si="0"/>
        <v>5.0000000000000001E-3</v>
      </c>
      <c r="F42" s="311">
        <v>1</v>
      </c>
      <c r="G42" s="310"/>
      <c r="H42" s="310"/>
      <c r="I42" s="353"/>
      <c r="J42" s="352"/>
    </row>
    <row r="43" spans="1:10" ht="50.45" customHeight="1">
      <c r="A43" s="443"/>
      <c r="B43" s="414"/>
      <c r="C43" s="378" t="s">
        <v>71</v>
      </c>
      <c r="D43" s="368">
        <v>5.0000000000000001E-3</v>
      </c>
      <c r="E43" s="30">
        <f t="shared" si="0"/>
        <v>5.0000000000000001E-3</v>
      </c>
      <c r="F43" s="311">
        <v>1</v>
      </c>
      <c r="G43" s="310"/>
      <c r="H43" s="310"/>
      <c r="I43" s="353"/>
      <c r="J43" s="352"/>
    </row>
    <row r="44" spans="1:10" ht="50.45" customHeight="1">
      <c r="A44" s="443"/>
      <c r="B44" s="414"/>
      <c r="C44" s="379" t="s">
        <v>72</v>
      </c>
      <c r="D44" s="368">
        <v>5.0000000000000001E-3</v>
      </c>
      <c r="E44" s="30">
        <f t="shared" si="0"/>
        <v>5.0000000000000001E-3</v>
      </c>
      <c r="F44" s="311">
        <v>1</v>
      </c>
      <c r="G44" s="310"/>
      <c r="H44" s="310"/>
      <c r="I44" s="353"/>
      <c r="J44" s="352"/>
    </row>
    <row r="45" spans="1:10" ht="50.45" customHeight="1">
      <c r="A45" s="443"/>
      <c r="B45" s="413" t="s">
        <v>537</v>
      </c>
      <c r="C45" s="380" t="s">
        <v>393</v>
      </c>
      <c r="D45" s="368">
        <v>5.0000000000000001E-3</v>
      </c>
      <c r="E45" s="30">
        <f t="shared" si="0"/>
        <v>5.0000000000000001E-3</v>
      </c>
      <c r="F45" s="311">
        <v>1</v>
      </c>
      <c r="G45" s="310"/>
      <c r="H45" s="310"/>
      <c r="I45" s="353"/>
      <c r="J45" s="352"/>
    </row>
    <row r="46" spans="1:10" ht="50.45" customHeight="1">
      <c r="A46" s="443"/>
      <c r="B46" s="414"/>
      <c r="C46" s="381" t="s">
        <v>535</v>
      </c>
      <c r="D46" s="368">
        <v>5.0000000000000001E-3</v>
      </c>
      <c r="E46" s="30">
        <f t="shared" si="0"/>
        <v>5.0000000000000001E-3</v>
      </c>
      <c r="F46" s="311">
        <v>1</v>
      </c>
      <c r="G46" s="310"/>
      <c r="H46" s="310"/>
      <c r="I46" s="353"/>
      <c r="J46" s="352"/>
    </row>
    <row r="47" spans="1:10" ht="50.45" customHeight="1">
      <c r="A47" s="443"/>
      <c r="B47" s="414"/>
      <c r="C47" s="372" t="s">
        <v>448</v>
      </c>
      <c r="D47" s="368">
        <v>5.0000000000000001E-3</v>
      </c>
      <c r="E47" s="30">
        <f t="shared" si="0"/>
        <v>5.0000000000000001E-3</v>
      </c>
      <c r="F47" s="311">
        <v>1</v>
      </c>
      <c r="G47" s="310"/>
      <c r="H47" s="310"/>
      <c r="I47" s="353"/>
      <c r="J47" s="352"/>
    </row>
    <row r="48" spans="1:10" ht="50.45" customHeight="1">
      <c r="A48" s="443"/>
      <c r="B48" s="414"/>
      <c r="C48" s="382" t="s">
        <v>80</v>
      </c>
      <c r="D48" s="368">
        <v>5.0000000000000001E-3</v>
      </c>
      <c r="E48" s="30">
        <f t="shared" si="0"/>
        <v>5.0000000000000001E-3</v>
      </c>
      <c r="F48" s="311">
        <v>1</v>
      </c>
      <c r="G48" s="310"/>
      <c r="H48" s="310"/>
      <c r="I48" s="353"/>
      <c r="J48" s="352"/>
    </row>
    <row r="49" spans="1:10" ht="50.45" customHeight="1">
      <c r="A49" s="443"/>
      <c r="B49" s="415" t="s">
        <v>85</v>
      </c>
      <c r="C49" s="380" t="s">
        <v>567</v>
      </c>
      <c r="D49" s="368">
        <v>5.0000000000000001E-3</v>
      </c>
      <c r="E49" s="30">
        <f t="shared" si="0"/>
        <v>5.0000000000000001E-3</v>
      </c>
      <c r="F49" s="311">
        <v>1</v>
      </c>
      <c r="G49" s="310"/>
      <c r="H49" s="310"/>
      <c r="I49" s="353"/>
      <c r="J49" s="352"/>
    </row>
    <row r="50" spans="1:10" ht="50.45" customHeight="1">
      <c r="A50" s="443"/>
      <c r="B50" s="416"/>
      <c r="C50" s="371" t="s">
        <v>387</v>
      </c>
      <c r="D50" s="368">
        <v>5.0000000000000001E-3</v>
      </c>
      <c r="E50" s="30">
        <f t="shared" si="0"/>
        <v>5.0000000000000001E-3</v>
      </c>
      <c r="F50" s="311">
        <v>1</v>
      </c>
      <c r="G50" s="310"/>
      <c r="H50" s="310"/>
      <c r="I50" s="353"/>
      <c r="J50" s="352"/>
    </row>
    <row r="51" spans="1:10" ht="50.45" customHeight="1">
      <c r="A51" s="443"/>
      <c r="B51" s="416"/>
      <c r="C51" s="381" t="s">
        <v>566</v>
      </c>
      <c r="D51" s="368">
        <v>5.0000000000000001E-3</v>
      </c>
      <c r="E51" s="30">
        <f t="shared" si="0"/>
        <v>5.0000000000000001E-3</v>
      </c>
      <c r="F51" s="311">
        <v>1</v>
      </c>
      <c r="G51" s="310"/>
      <c r="H51" s="310"/>
      <c r="I51" s="353"/>
      <c r="J51" s="352"/>
    </row>
    <row r="52" spans="1:10" ht="50.45" customHeight="1">
      <c r="A52" s="443"/>
      <c r="B52" s="383" t="s">
        <v>565</v>
      </c>
      <c r="C52" s="372" t="s">
        <v>96</v>
      </c>
      <c r="D52" s="368">
        <v>5.0000000000000001E-3</v>
      </c>
      <c r="E52" s="30">
        <f t="shared" si="0"/>
        <v>5.0000000000000001E-3</v>
      </c>
      <c r="F52" s="311">
        <v>1</v>
      </c>
      <c r="G52" s="310"/>
      <c r="H52" s="310"/>
      <c r="I52" s="353"/>
      <c r="J52" s="352"/>
    </row>
    <row r="53" spans="1:10" ht="50.45" customHeight="1">
      <c r="A53" s="444" t="s">
        <v>385</v>
      </c>
      <c r="B53" s="445" t="s">
        <v>564</v>
      </c>
      <c r="C53" s="446"/>
      <c r="D53" s="367">
        <v>1.4999999999999999E-2</v>
      </c>
      <c r="E53" s="30">
        <f t="shared" si="0"/>
        <v>1.4999999999999999E-2</v>
      </c>
      <c r="F53" s="311">
        <v>1</v>
      </c>
      <c r="G53" s="310"/>
      <c r="H53" s="310"/>
      <c r="I53" s="353"/>
      <c r="J53" s="352"/>
    </row>
    <row r="54" spans="1:10" ht="50.45" customHeight="1">
      <c r="A54" s="444"/>
      <c r="B54" s="445" t="s">
        <v>563</v>
      </c>
      <c r="C54" s="446"/>
      <c r="D54" s="367">
        <v>1.4999999999999999E-2</v>
      </c>
      <c r="E54" s="30">
        <f t="shared" si="0"/>
        <v>1.4999999999999999E-2</v>
      </c>
      <c r="F54" s="311">
        <v>1</v>
      </c>
      <c r="G54" s="310"/>
      <c r="H54" s="310"/>
      <c r="I54" s="353"/>
      <c r="J54" s="354"/>
    </row>
    <row r="55" spans="1:10" ht="50.45" customHeight="1">
      <c r="A55" s="384" t="s">
        <v>382</v>
      </c>
      <c r="B55" s="425" t="s">
        <v>381</v>
      </c>
      <c r="C55" s="426"/>
      <c r="D55" s="368">
        <v>0.02</v>
      </c>
      <c r="E55" s="30">
        <f t="shared" si="0"/>
        <v>0.02</v>
      </c>
      <c r="F55" s="311">
        <v>1</v>
      </c>
      <c r="G55" s="310"/>
      <c r="H55" s="310"/>
      <c r="I55" s="353"/>
      <c r="J55" s="352"/>
    </row>
    <row r="56" spans="1:10" ht="50.45" customHeight="1">
      <c r="A56" s="421" t="s">
        <v>376</v>
      </c>
      <c r="B56" s="425" t="s">
        <v>375</v>
      </c>
      <c r="C56" s="426"/>
      <c r="D56" s="368">
        <v>2.5000000000000001E-2</v>
      </c>
      <c r="E56" s="30">
        <f t="shared" si="0"/>
        <v>2.5000000000000001E-2</v>
      </c>
      <c r="F56" s="311">
        <v>1</v>
      </c>
      <c r="G56" s="310"/>
      <c r="H56" s="310"/>
      <c r="I56" s="353"/>
      <c r="J56" s="352"/>
    </row>
    <row r="57" spans="1:10" ht="50.45" customHeight="1">
      <c r="A57" s="421"/>
      <c r="B57" s="419" t="s">
        <v>374</v>
      </c>
      <c r="C57" s="424"/>
      <c r="D57" s="366">
        <v>2.5000000000000001E-2</v>
      </c>
      <c r="E57" s="30">
        <f t="shared" si="0"/>
        <v>2.5000000000000001E-2</v>
      </c>
      <c r="F57" s="311">
        <v>1</v>
      </c>
      <c r="G57" s="310"/>
      <c r="H57" s="310"/>
      <c r="I57" s="353"/>
      <c r="J57" s="354"/>
    </row>
    <row r="58" spans="1:10" ht="50.45" customHeight="1">
      <c r="A58" s="384" t="s">
        <v>378</v>
      </c>
      <c r="B58" s="422" t="s">
        <v>562</v>
      </c>
      <c r="C58" s="423"/>
      <c r="D58" s="367">
        <v>0.03</v>
      </c>
      <c r="E58" s="30">
        <f t="shared" si="0"/>
        <v>0.03</v>
      </c>
      <c r="F58" s="311">
        <v>1</v>
      </c>
      <c r="G58" s="310"/>
      <c r="H58" s="310"/>
      <c r="I58" s="353"/>
      <c r="J58" s="352"/>
    </row>
    <row r="59" spans="1:10" ht="50.45" customHeight="1">
      <c r="A59" s="385" t="s">
        <v>561</v>
      </c>
      <c r="B59" s="419" t="s">
        <v>519</v>
      </c>
      <c r="C59" s="420"/>
      <c r="D59" s="386">
        <v>0.2</v>
      </c>
      <c r="E59" s="30">
        <f t="shared" si="0"/>
        <v>0.2</v>
      </c>
      <c r="F59" s="311">
        <v>1</v>
      </c>
      <c r="G59" s="315"/>
      <c r="H59" s="315"/>
      <c r="I59" s="314"/>
    </row>
    <row r="60" spans="1:10" ht="50.45" customHeight="1">
      <c r="A60" s="411" t="s">
        <v>373</v>
      </c>
      <c r="B60" s="409" t="s">
        <v>119</v>
      </c>
      <c r="C60" s="410"/>
      <c r="D60" s="387">
        <v>0.02</v>
      </c>
      <c r="E60" s="30">
        <f t="shared" si="0"/>
        <v>0.02</v>
      </c>
      <c r="F60" s="311">
        <v>1</v>
      </c>
      <c r="G60" s="310"/>
      <c r="H60" s="310"/>
      <c r="I60" s="353"/>
      <c r="J60" s="352"/>
    </row>
    <row r="61" spans="1:10" ht="50.45" customHeight="1">
      <c r="A61" s="412"/>
      <c r="B61" s="409" t="s">
        <v>372</v>
      </c>
      <c r="C61" s="410"/>
      <c r="D61" s="387">
        <v>0.02</v>
      </c>
      <c r="E61" s="30">
        <f t="shared" si="0"/>
        <v>0.02</v>
      </c>
      <c r="F61" s="311">
        <v>1</v>
      </c>
      <c r="G61" s="115"/>
      <c r="H61" s="115"/>
      <c r="I61" s="351"/>
      <c r="J61" s="350"/>
    </row>
    <row r="62" spans="1:10" ht="50.45" customHeight="1">
      <c r="A62" s="412"/>
      <c r="B62" s="435" t="s">
        <v>121</v>
      </c>
      <c r="C62" s="436"/>
      <c r="D62" s="387">
        <v>0.02</v>
      </c>
      <c r="E62" s="30">
        <f t="shared" si="0"/>
        <v>0.02</v>
      </c>
      <c r="F62" s="311">
        <v>1</v>
      </c>
      <c r="G62" s="115"/>
      <c r="H62" s="115"/>
      <c r="I62" s="351"/>
      <c r="J62" s="350"/>
    </row>
    <row r="63" spans="1:10" ht="50.45" customHeight="1">
      <c r="A63" s="427"/>
      <c r="B63" s="425" t="s">
        <v>560</v>
      </c>
      <c r="C63" s="426"/>
      <c r="D63" s="388">
        <v>0.02</v>
      </c>
      <c r="E63" s="30">
        <f t="shared" si="0"/>
        <v>0.02</v>
      </c>
      <c r="F63" s="311">
        <v>1</v>
      </c>
      <c r="G63" s="115"/>
      <c r="H63" s="115"/>
      <c r="I63" s="351"/>
      <c r="J63" s="350"/>
    </row>
    <row r="64" spans="1:10" ht="50.45" customHeight="1">
      <c r="A64" s="411" t="s">
        <v>370</v>
      </c>
      <c r="B64" s="437" t="s">
        <v>123</v>
      </c>
      <c r="C64" s="438"/>
      <c r="D64" s="387">
        <v>4.4999999999999997E-3</v>
      </c>
      <c r="E64" s="30">
        <f t="shared" si="0"/>
        <v>4.4999999999999997E-3</v>
      </c>
      <c r="F64" s="311">
        <v>1</v>
      </c>
      <c r="G64" s="115"/>
      <c r="H64" s="115"/>
      <c r="I64" s="351"/>
      <c r="J64" s="350"/>
    </row>
    <row r="65" spans="1:10" ht="50.45" customHeight="1">
      <c r="A65" s="412"/>
      <c r="B65" s="437" t="s">
        <v>124</v>
      </c>
      <c r="C65" s="438"/>
      <c r="D65" s="387">
        <v>4.4999999999999997E-3</v>
      </c>
      <c r="E65" s="30">
        <f t="shared" si="0"/>
        <v>4.4999999999999997E-3</v>
      </c>
      <c r="F65" s="311">
        <v>1</v>
      </c>
      <c r="G65" s="115"/>
      <c r="H65" s="115"/>
      <c r="I65" s="351"/>
      <c r="J65" s="350"/>
    </row>
    <row r="66" spans="1:10" ht="50.45" customHeight="1">
      <c r="A66" s="412"/>
      <c r="B66" s="437" t="s">
        <v>369</v>
      </c>
      <c r="C66" s="438"/>
      <c r="D66" s="387">
        <v>4.4999999999999997E-3</v>
      </c>
      <c r="E66" s="30">
        <f t="shared" si="0"/>
        <v>4.4999999999999997E-3</v>
      </c>
      <c r="F66" s="311">
        <v>1</v>
      </c>
      <c r="G66" s="115"/>
      <c r="H66" s="115"/>
      <c r="I66" s="351"/>
      <c r="J66" s="350"/>
    </row>
    <row r="67" spans="1:10" ht="50.45" customHeight="1">
      <c r="A67" s="412"/>
      <c r="B67" s="437" t="s">
        <v>126</v>
      </c>
      <c r="C67" s="438"/>
      <c r="D67" s="387">
        <v>4.4999999999999997E-3</v>
      </c>
      <c r="E67" s="30">
        <f t="shared" si="0"/>
        <v>4.4999999999999997E-3</v>
      </c>
      <c r="F67" s="311">
        <v>1</v>
      </c>
      <c r="G67" s="115"/>
      <c r="H67" s="115"/>
      <c r="I67" s="351"/>
      <c r="J67" s="350"/>
    </row>
    <row r="68" spans="1:10" ht="50.45" customHeight="1">
      <c r="A68" s="412"/>
      <c r="B68" s="437" t="s">
        <v>127</v>
      </c>
      <c r="C68" s="438"/>
      <c r="D68" s="387">
        <v>4.4999999999999997E-3</v>
      </c>
      <c r="E68" s="30">
        <f>IF(COUNTA(G68:H68)&gt;1, "PORFAVOR MARQUE UNA SOLA OPCION", IF(OR(G68&lt;&gt;"", H68&lt;&gt;""), D68, IF(#REF!&lt;&gt;"", 0, 0)))</f>
        <v>4.4999999999999997E-3</v>
      </c>
      <c r="G68" s="311">
        <v>1</v>
      </c>
      <c r="H68" s="115"/>
      <c r="I68" s="351"/>
      <c r="J68" s="350"/>
    </row>
    <row r="69" spans="1:10" ht="50.45" customHeight="1">
      <c r="A69" s="412"/>
      <c r="B69" s="389" t="s">
        <v>368</v>
      </c>
      <c r="C69" s="390"/>
      <c r="D69" s="387">
        <v>4.4999999999999997E-3</v>
      </c>
      <c r="E69" s="30">
        <f>IF(COUNTA(G69:H69)&gt;1, "PORFAVOR MARQUE UNA SOLA OPCION", IF(OR(G69&lt;&gt;"", H69&lt;&gt;""), D69, IF(#REF!&lt;&gt;"", 0, 0)))</f>
        <v>4.4999999999999997E-3</v>
      </c>
      <c r="G69" s="311">
        <v>1</v>
      </c>
      <c r="H69" s="115"/>
      <c r="I69" s="351"/>
      <c r="J69" s="350"/>
    </row>
    <row r="70" spans="1:10" ht="50.45" customHeight="1">
      <c r="A70" s="412"/>
      <c r="B70" s="389" t="s">
        <v>367</v>
      </c>
      <c r="C70" s="390"/>
      <c r="D70" s="387">
        <v>4.4999999999999997E-3</v>
      </c>
      <c r="E70" s="30">
        <f>IF(COUNTA(G70:H70)&gt;1, "PORFAVOR MARQUE UNA SOLA OPCION", IF(OR(G70&lt;&gt;"", H70&lt;&gt;""), D70, IF(#REF!&lt;&gt;"", 0, 0)))</f>
        <v>4.4999999999999997E-3</v>
      </c>
      <c r="G70" s="311">
        <v>1</v>
      </c>
      <c r="H70" s="115"/>
      <c r="I70" s="351"/>
      <c r="J70" s="350"/>
    </row>
    <row r="71" spans="1:10" ht="50.45" customHeight="1">
      <c r="A71" s="412"/>
      <c r="B71" s="437" t="s">
        <v>366</v>
      </c>
      <c r="C71" s="438"/>
      <c r="D71" s="387">
        <v>4.4999999999999997E-3</v>
      </c>
      <c r="E71" s="30">
        <f>IF(COUNTA(G71:H71)&gt;1, "PORFAVOR MARQUE UNA SOLA OPCION", IF(OR(G71&lt;&gt;"", H71&lt;&gt;""), D71, IF(#REF!&lt;&gt;"", 0, 0)))</f>
        <v>4.4999999999999997E-3</v>
      </c>
      <c r="G71" s="311">
        <v>1</v>
      </c>
      <c r="H71" s="115"/>
      <c r="I71" s="351"/>
      <c r="J71" s="350"/>
    </row>
    <row r="72" spans="1:10" ht="50.45" customHeight="1">
      <c r="A72" s="412"/>
      <c r="B72" s="437" t="s">
        <v>365</v>
      </c>
      <c r="C72" s="438"/>
      <c r="D72" s="387">
        <v>4.4999999999999997E-3</v>
      </c>
      <c r="E72" s="30">
        <f>IF(COUNTA(G72:H72)&gt;1, "PORFAVOR MARQUE UNA SOLA OPCION", IF(OR(G72&lt;&gt;"", H72&lt;&gt;""), D72, IF(#REF!&lt;&gt;"", 0, 0)))</f>
        <v>4.4999999999999997E-3</v>
      </c>
      <c r="G72" s="311">
        <v>1</v>
      </c>
      <c r="H72" s="115"/>
      <c r="I72" s="351"/>
      <c r="J72" s="350"/>
    </row>
    <row r="73" spans="1:10" ht="50.45" customHeight="1">
      <c r="A73" s="412"/>
      <c r="B73" s="437" t="s">
        <v>364</v>
      </c>
      <c r="C73" s="438"/>
      <c r="D73" s="387">
        <v>4.4999999999999997E-3</v>
      </c>
      <c r="E73" s="30">
        <f>IF(COUNTA(G73:H73)&gt;1, "PORFAVOR MARQUE UNA SOLA OPCION", IF(OR(G73&lt;&gt;"", H73&lt;&gt;""), D73, IF(#REF!&lt;&gt;"", 0, 0)))</f>
        <v>4.4999999999999997E-3</v>
      </c>
      <c r="G73" s="311">
        <v>1</v>
      </c>
      <c r="H73" s="115"/>
      <c r="I73" s="351"/>
      <c r="J73" s="350"/>
    </row>
    <row r="74" spans="1:10" ht="50.45" customHeight="1">
      <c r="A74" s="427"/>
      <c r="B74" s="389" t="s">
        <v>363</v>
      </c>
      <c r="C74" s="390"/>
      <c r="D74" s="387">
        <v>4.4999999999999997E-3</v>
      </c>
      <c r="E74" s="30">
        <f>IF(COUNTA(G74:H74)&gt;1, "PORFAVOR MARQUE UNA SOLA OPCION", IF(OR(G74&lt;&gt;"", H74&lt;&gt;""), D74, IF(#REF!&lt;&gt;"", 0, 0)))</f>
        <v>4.4999999999999997E-3</v>
      </c>
      <c r="G74" s="311">
        <v>1</v>
      </c>
      <c r="H74" s="115"/>
      <c r="I74" s="351"/>
      <c r="J74" s="350"/>
    </row>
    <row r="75" spans="1:10" ht="50.45" customHeight="1">
      <c r="A75" s="431" t="s">
        <v>512</v>
      </c>
      <c r="B75" s="431"/>
      <c r="C75" s="432"/>
      <c r="D75" s="366">
        <f>SUM(D15:D74)</f>
        <v>0.99949999999999983</v>
      </c>
      <c r="E75" s="30">
        <f>IF(COUNTA(G75:H75)&gt;1, "PORFAVOR MARQUE UNA SOLA OPCION", IF(OR(G75&lt;&gt;"", H75&lt;&gt;""), D75, IF(#REF!&lt;&gt;"", 0, 0)))</f>
        <v>0.99949999999999983</v>
      </c>
      <c r="G75" s="308">
        <v>1</v>
      </c>
      <c r="H75" s="349"/>
      <c r="I75" s="348"/>
      <c r="J75" s="347"/>
    </row>
    <row r="76" spans="1:10" ht="50.45" customHeight="1" thickBot="1">
      <c r="A76" s="465" t="s">
        <v>14</v>
      </c>
      <c r="B76" s="465"/>
      <c r="C76" s="466"/>
      <c r="D76" s="465"/>
      <c r="E76" s="361"/>
      <c r="F76" s="362">
        <f>SUM(F15:F75)</f>
        <v>53</v>
      </c>
      <c r="G76" s="362">
        <f>SUM(G15:G75)</f>
        <v>9</v>
      </c>
      <c r="H76" s="362">
        <f>SUM(H15:H75)</f>
        <v>0</v>
      </c>
      <c r="I76" s="346"/>
      <c r="J76" s="345"/>
    </row>
    <row r="77" spans="1:10" ht="50.45" customHeight="1">
      <c r="A77" s="467"/>
      <c r="B77" s="467"/>
      <c r="C77" s="468"/>
      <c r="D77" s="469"/>
      <c r="E77" s="361"/>
      <c r="F77" s="462">
        <f>IFERROR((F76/((F76+G76+H76)-H76)),0)</f>
        <v>0.85483870967741937</v>
      </c>
      <c r="G77" s="463"/>
      <c r="H77" s="464"/>
    </row>
    <row r="79" spans="1:10" ht="50.45" customHeight="1">
      <c r="A79" s="344" t="s">
        <v>20</v>
      </c>
      <c r="B79" s="343" t="s">
        <v>15</v>
      </c>
      <c r="C79" s="342"/>
      <c r="D79" s="341"/>
      <c r="E79" s="341"/>
      <c r="F79" s="340"/>
      <c r="G79" s="340"/>
      <c r="H79" s="339"/>
    </row>
    <row r="80" spans="1:10" ht="50.45" customHeight="1">
      <c r="A80" s="338" t="s">
        <v>21</v>
      </c>
      <c r="B80" s="433" t="s">
        <v>22</v>
      </c>
      <c r="C80" s="434"/>
      <c r="D80" s="434"/>
      <c r="E80" s="434"/>
      <c r="F80" s="434"/>
      <c r="G80" s="434"/>
      <c r="H80" s="434"/>
    </row>
    <row r="81" spans="1:8" ht="50.45" customHeight="1">
      <c r="A81" s="337" t="s">
        <v>23</v>
      </c>
      <c r="B81" s="433" t="s">
        <v>16</v>
      </c>
      <c r="C81" s="433"/>
      <c r="D81" s="433"/>
      <c r="E81" s="433"/>
      <c r="F81" s="433"/>
      <c r="G81" s="433"/>
      <c r="H81" s="433"/>
    </row>
    <row r="82" spans="1:8" ht="50.45" customHeight="1">
      <c r="A82" s="336" t="s">
        <v>17</v>
      </c>
      <c r="B82" s="433" t="s">
        <v>18</v>
      </c>
      <c r="C82" s="433"/>
      <c r="D82" s="433"/>
      <c r="E82" s="433"/>
      <c r="F82" s="433"/>
      <c r="G82" s="433"/>
      <c r="H82" s="433"/>
    </row>
  </sheetData>
  <mergeCells count="59">
    <mergeCell ref="B1:G2"/>
    <mergeCell ref="C5:G5"/>
    <mergeCell ref="A10:C10"/>
    <mergeCell ref="F10:J10"/>
    <mergeCell ref="A16:A17"/>
    <mergeCell ref="B16:C16"/>
    <mergeCell ref="B17:C17"/>
    <mergeCell ref="F11:J11"/>
    <mergeCell ref="A12:C14"/>
    <mergeCell ref="F13:H13"/>
    <mergeCell ref="J13:J14"/>
    <mergeCell ref="B55:C55"/>
    <mergeCell ref="A23:A28"/>
    <mergeCell ref="B23:B24"/>
    <mergeCell ref="B25:B26"/>
    <mergeCell ref="B27:B28"/>
    <mergeCell ref="A29:A52"/>
    <mergeCell ref="A53:A54"/>
    <mergeCell ref="B53:C53"/>
    <mergeCell ref="B54:C54"/>
    <mergeCell ref="B82:H82"/>
    <mergeCell ref="A64:A74"/>
    <mergeCell ref="B64:C64"/>
    <mergeCell ref="B65:C65"/>
    <mergeCell ref="B66:C66"/>
    <mergeCell ref="B67:C67"/>
    <mergeCell ref="B68:C68"/>
    <mergeCell ref="B71:C71"/>
    <mergeCell ref="B72:C72"/>
    <mergeCell ref="B73:C73"/>
    <mergeCell ref="F77:H77"/>
    <mergeCell ref="A76:C77"/>
    <mergeCell ref="D76:D77"/>
    <mergeCell ref="A75:C75"/>
    <mergeCell ref="B80:H80"/>
    <mergeCell ref="B81:H81"/>
    <mergeCell ref="B35:B37"/>
    <mergeCell ref="B45:B48"/>
    <mergeCell ref="A60:A63"/>
    <mergeCell ref="B63:C63"/>
    <mergeCell ref="B62:C62"/>
    <mergeCell ref="B60:C60"/>
    <mergeCell ref="A56:A57"/>
    <mergeCell ref="B58:C58"/>
    <mergeCell ref="B57:C57"/>
    <mergeCell ref="B56:C56"/>
    <mergeCell ref="A18:A22"/>
    <mergeCell ref="B18:C18"/>
    <mergeCell ref="B19:C19"/>
    <mergeCell ref="B20:C20"/>
    <mergeCell ref="B21:C21"/>
    <mergeCell ref="B22:C22"/>
    <mergeCell ref="B61:C61"/>
    <mergeCell ref="B29:B30"/>
    <mergeCell ref="B31:B34"/>
    <mergeCell ref="B49:B51"/>
    <mergeCell ref="B41:B44"/>
    <mergeCell ref="B38:B40"/>
    <mergeCell ref="B59:C59"/>
  </mergeCells>
  <conditionalFormatting sqref="F77:H77">
    <cfRule type="colorScale" priority="4">
      <colorScale>
        <cfvo type="num" val="0.5"/>
        <cfvo type="num" val="0.7"/>
        <cfvo type="num" val="1"/>
        <color rgb="FFFF0000"/>
        <color rgb="FFFFEB84"/>
        <color theme="9" tint="-0.249977111117893"/>
      </colorScale>
    </cfRule>
  </conditionalFormatting>
  <conditionalFormatting sqref="E15:E75">
    <cfRule type="cellIs" dxfId="29" priority="1" operator="equal">
      <formula>0</formula>
    </cfRule>
    <cfRule type="containsText" dxfId="28" priority="2" operator="containsText" text="PORFAVOR MARQUE UNA SOLA OPCION">
      <formula>NOT(ISERROR(SEARCH("PORFAVOR MARQUE UNA SOLA OPCION",E15)))</formula>
    </cfRule>
    <cfRule type="cellIs" dxfId="27" priority="3" operator="greaterThan">
      <formula>0</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6F25E-1CAD-4911-A1DA-3C11E1641F1A}">
  <dimension ref="A1:I90"/>
  <sheetViews>
    <sheetView topLeftCell="A62" zoomScale="68" zoomScaleNormal="68" workbookViewId="0">
      <selection activeCell="F83" sqref="F83"/>
    </sheetView>
  </sheetViews>
  <sheetFormatPr baseColWidth="10" defaultRowHeight="14.25"/>
  <cols>
    <col min="1" max="1" width="24.625" customWidth="1"/>
    <col min="2" max="2" width="36.5" customWidth="1"/>
    <col min="3" max="3" width="35.875" customWidth="1"/>
    <col min="4" max="4" width="17" style="12" customWidth="1"/>
    <col min="5" max="5" width="17" style="228" customWidth="1"/>
    <col min="6" max="6" width="23.5" customWidth="1"/>
    <col min="7" max="7" width="25" customWidth="1"/>
    <col min="8" max="8" width="17.5" customWidth="1"/>
    <col min="9" max="9" width="21.5" customWidth="1"/>
  </cols>
  <sheetData>
    <row r="1" spans="1:9">
      <c r="A1" s="33"/>
      <c r="B1" s="568" t="s">
        <v>26</v>
      </c>
      <c r="C1" s="568"/>
      <c r="D1" s="568"/>
      <c r="E1" s="568"/>
      <c r="F1" s="568"/>
      <c r="G1" s="568"/>
    </row>
    <row r="2" spans="1:9">
      <c r="A2" s="33"/>
      <c r="B2" s="568"/>
      <c r="C2" s="568"/>
      <c r="D2" s="568"/>
      <c r="E2" s="568"/>
      <c r="F2" s="568"/>
      <c r="G2" s="568"/>
    </row>
    <row r="3" spans="1:9">
      <c r="A3" s="1"/>
      <c r="C3" s="1"/>
      <c r="D3" s="3"/>
      <c r="E3" s="227"/>
    </row>
    <row r="4" spans="1:9">
      <c r="A4" s="1"/>
      <c r="C4" s="1"/>
      <c r="D4" s="3"/>
      <c r="E4" s="227"/>
    </row>
    <row r="5" spans="1:9">
      <c r="A5" s="2" t="s">
        <v>1</v>
      </c>
      <c r="B5" s="3"/>
      <c r="C5" s="569" t="s">
        <v>2</v>
      </c>
      <c r="D5" s="570"/>
      <c r="E5" s="570"/>
      <c r="F5" s="570"/>
      <c r="G5" s="571"/>
    </row>
    <row r="6" spans="1:9">
      <c r="A6" s="2" t="s">
        <v>3</v>
      </c>
      <c r="B6" s="4"/>
      <c r="C6" s="226" t="s">
        <v>4</v>
      </c>
      <c r="D6" s="5"/>
      <c r="E6" s="225"/>
      <c r="F6" s="225" t="s">
        <v>5</v>
      </c>
      <c r="G6" s="5" t="s">
        <v>6</v>
      </c>
    </row>
    <row r="7" spans="1:9">
      <c r="A7" s="2" t="s">
        <v>7</v>
      </c>
      <c r="B7" s="3"/>
      <c r="C7" s="224">
        <v>1</v>
      </c>
      <c r="D7" s="6"/>
      <c r="E7" s="112"/>
      <c r="F7" s="223">
        <v>0</v>
      </c>
      <c r="G7" s="5">
        <v>1</v>
      </c>
    </row>
    <row r="9" spans="1:9" ht="15" thickBot="1"/>
    <row r="10" spans="1:9" ht="16.5" thickBot="1">
      <c r="A10" s="572" t="s">
        <v>27</v>
      </c>
      <c r="B10" s="573"/>
      <c r="C10" s="574"/>
      <c r="D10" s="222"/>
      <c r="E10" s="229"/>
      <c r="F10" s="560" t="s">
        <v>434</v>
      </c>
      <c r="G10" s="561"/>
      <c r="H10" s="561"/>
      <c r="I10" s="562"/>
    </row>
    <row r="11" spans="1:9" ht="15.75">
      <c r="A11" s="554" t="s">
        <v>8</v>
      </c>
      <c r="B11" s="555"/>
      <c r="C11" s="556"/>
      <c r="D11" s="575" t="s">
        <v>24</v>
      </c>
      <c r="E11" s="548" t="s">
        <v>25</v>
      </c>
      <c r="F11" s="560" t="s">
        <v>433</v>
      </c>
      <c r="G11" s="561"/>
      <c r="H11" s="561"/>
      <c r="I11" s="562"/>
    </row>
    <row r="12" spans="1:9" ht="15">
      <c r="A12" s="554"/>
      <c r="B12" s="555"/>
      <c r="C12" s="556"/>
      <c r="D12" s="576"/>
      <c r="E12" s="549"/>
      <c r="F12" s="11"/>
      <c r="G12" s="9"/>
      <c r="H12" s="10"/>
      <c r="I12" s="10"/>
    </row>
    <row r="13" spans="1:9" ht="15" customHeight="1">
      <c r="A13" s="554"/>
      <c r="B13" s="555"/>
      <c r="C13" s="556"/>
      <c r="D13" s="576"/>
      <c r="E13" s="549"/>
      <c r="F13" s="563" t="s">
        <v>2</v>
      </c>
      <c r="G13" s="564"/>
      <c r="H13" s="565"/>
      <c r="I13" s="566" t="s">
        <v>0</v>
      </c>
    </row>
    <row r="14" spans="1:9" ht="15" thickBot="1">
      <c r="A14" s="557"/>
      <c r="B14" s="558"/>
      <c r="C14" s="559"/>
      <c r="D14" s="577"/>
      <c r="E14" s="550"/>
      <c r="F14" s="221" t="s">
        <v>4</v>
      </c>
      <c r="G14" s="220" t="s">
        <v>5</v>
      </c>
      <c r="H14" s="220" t="s">
        <v>30</v>
      </c>
      <c r="I14" s="567"/>
    </row>
    <row r="15" spans="1:9" ht="43.5" customHeight="1">
      <c r="A15" s="578" t="s">
        <v>432</v>
      </c>
      <c r="B15" s="579" t="s">
        <v>431</v>
      </c>
      <c r="C15" s="580"/>
      <c r="D15" s="158">
        <v>1.2999999999999999E-2</v>
      </c>
      <c r="E15" s="30">
        <f t="shared" ref="E15:E46" si="0">IF(COUNTA(F15:H15)&gt;1, "PORFAVOR MARQUE UNA SOLA OPCION", IF(OR(F15&lt;&gt;"", H15&lt;&gt;""), D15, IF(G15&lt;&gt;"", 0, 0)))</f>
        <v>0</v>
      </c>
      <c r="F15" s="219"/>
      <c r="G15" s="218"/>
      <c r="H15" s="218"/>
      <c r="I15" s="217"/>
    </row>
    <row r="16" spans="1:9" ht="27.75" customHeight="1">
      <c r="A16" s="578"/>
      <c r="B16" s="579" t="s">
        <v>430</v>
      </c>
      <c r="C16" s="580"/>
      <c r="D16" s="158">
        <v>1.0999999999999999E-2</v>
      </c>
      <c r="E16" s="30">
        <f t="shared" si="0"/>
        <v>0</v>
      </c>
      <c r="F16" s="206"/>
      <c r="G16" s="129"/>
      <c r="H16" s="129"/>
      <c r="I16" s="203"/>
    </row>
    <row r="17" spans="1:9" ht="15">
      <c r="A17" s="581" t="s">
        <v>218</v>
      </c>
      <c r="B17" s="584" t="s">
        <v>429</v>
      </c>
      <c r="C17" s="585"/>
      <c r="D17" s="158">
        <v>0.01</v>
      </c>
      <c r="E17" s="30">
        <f t="shared" si="0"/>
        <v>0</v>
      </c>
      <c r="F17" s="206"/>
      <c r="G17" s="129"/>
      <c r="H17" s="129"/>
      <c r="I17" s="203"/>
    </row>
    <row r="18" spans="1:9" ht="15">
      <c r="A18" s="582"/>
      <c r="B18" s="585" t="s">
        <v>428</v>
      </c>
      <c r="C18" s="586"/>
      <c r="D18" s="158">
        <v>0.02</v>
      </c>
      <c r="E18" s="30">
        <f t="shared" si="0"/>
        <v>0</v>
      </c>
      <c r="F18" s="206"/>
      <c r="G18" s="129"/>
      <c r="H18" s="129"/>
      <c r="I18" s="203"/>
    </row>
    <row r="19" spans="1:9" ht="15">
      <c r="A19" s="582"/>
      <c r="B19" s="584" t="s">
        <v>427</v>
      </c>
      <c r="C19" s="585"/>
      <c r="D19" s="158">
        <v>1.2E-2</v>
      </c>
      <c r="E19" s="30">
        <f t="shared" si="0"/>
        <v>0</v>
      </c>
      <c r="F19" s="206"/>
      <c r="G19" s="129"/>
      <c r="H19" s="129"/>
      <c r="I19" s="203"/>
    </row>
    <row r="20" spans="1:9" ht="15">
      <c r="A20" s="582"/>
      <c r="B20" s="584" t="s">
        <v>426</v>
      </c>
      <c r="C20" s="585"/>
      <c r="D20" s="158">
        <v>1.4E-2</v>
      </c>
      <c r="E20" s="30">
        <f t="shared" si="0"/>
        <v>0</v>
      </c>
      <c r="F20" s="206"/>
      <c r="G20" s="129"/>
      <c r="H20" s="129"/>
      <c r="I20" s="203"/>
    </row>
    <row r="21" spans="1:9" ht="32.25" customHeight="1">
      <c r="A21" s="582"/>
      <c r="B21" s="587" t="s">
        <v>35</v>
      </c>
      <c r="C21" s="588"/>
      <c r="D21" s="158">
        <v>1.2999999999999999E-2</v>
      </c>
      <c r="E21" s="30">
        <f t="shared" si="0"/>
        <v>0</v>
      </c>
      <c r="F21" s="206"/>
      <c r="G21" s="129"/>
      <c r="H21" s="129"/>
      <c r="I21" s="203"/>
    </row>
    <row r="22" spans="1:9" ht="16.5" customHeight="1">
      <c r="A22" s="583"/>
      <c r="B22" s="584" t="s">
        <v>425</v>
      </c>
      <c r="C22" s="585"/>
      <c r="D22" s="158">
        <v>1.4999999999999999E-2</v>
      </c>
      <c r="E22" s="30">
        <f t="shared" si="0"/>
        <v>0</v>
      </c>
      <c r="F22" s="206"/>
      <c r="G22" s="129"/>
      <c r="H22" s="129"/>
      <c r="I22" s="203"/>
    </row>
    <row r="23" spans="1:9" ht="15.75">
      <c r="A23" s="581" t="s">
        <v>424</v>
      </c>
      <c r="B23" s="578" t="s">
        <v>423</v>
      </c>
      <c r="C23" s="208" t="s">
        <v>422</v>
      </c>
      <c r="D23" s="158">
        <v>1.2E-2</v>
      </c>
      <c r="E23" s="30">
        <f t="shared" si="0"/>
        <v>0</v>
      </c>
      <c r="F23" s="206"/>
      <c r="G23" s="129"/>
      <c r="H23" s="129"/>
      <c r="I23" s="203"/>
    </row>
    <row r="24" spans="1:9" ht="15.75">
      <c r="A24" s="582"/>
      <c r="B24" s="578"/>
      <c r="C24" s="207" t="s">
        <v>421</v>
      </c>
      <c r="D24" s="158">
        <v>1.7000000000000001E-2</v>
      </c>
      <c r="E24" s="30">
        <f t="shared" si="0"/>
        <v>0</v>
      </c>
      <c r="F24" s="206"/>
      <c r="G24" s="129"/>
      <c r="H24" s="129"/>
      <c r="I24" s="203"/>
    </row>
    <row r="25" spans="1:9" ht="15.75">
      <c r="A25" s="582"/>
      <c r="B25" s="578"/>
      <c r="C25" s="207" t="s">
        <v>420</v>
      </c>
      <c r="D25" s="158">
        <v>1.2999999999999999E-2</v>
      </c>
      <c r="E25" s="30">
        <f t="shared" si="0"/>
        <v>0</v>
      </c>
      <c r="F25" s="206"/>
      <c r="G25" s="129"/>
      <c r="H25" s="129"/>
      <c r="I25" s="203"/>
    </row>
    <row r="26" spans="1:9" ht="15">
      <c r="A26" s="582"/>
      <c r="B26" s="591" t="s">
        <v>419</v>
      </c>
      <c r="C26" s="214" t="s">
        <v>51</v>
      </c>
      <c r="D26" s="158">
        <v>1.6E-2</v>
      </c>
      <c r="E26" s="30">
        <f t="shared" si="0"/>
        <v>0</v>
      </c>
      <c r="F26" s="206"/>
      <c r="G26" s="129"/>
      <c r="H26" s="129"/>
      <c r="I26" s="204"/>
    </row>
    <row r="27" spans="1:9" ht="42.75">
      <c r="A27" s="582"/>
      <c r="B27" s="591"/>
      <c r="C27" s="104" t="s">
        <v>418</v>
      </c>
      <c r="D27" s="158">
        <v>1.0999999999999999E-2</v>
      </c>
      <c r="E27" s="30">
        <f t="shared" si="0"/>
        <v>0</v>
      </c>
      <c r="F27" s="206"/>
      <c r="G27" s="129"/>
      <c r="H27" s="129"/>
      <c r="I27" s="204"/>
    </row>
    <row r="28" spans="1:9" ht="28.5">
      <c r="A28" s="582"/>
      <c r="B28" s="591" t="s">
        <v>417</v>
      </c>
      <c r="C28" s="104" t="s">
        <v>416</v>
      </c>
      <c r="D28" s="158">
        <v>1.4E-2</v>
      </c>
      <c r="E28" s="30">
        <f t="shared" si="0"/>
        <v>0</v>
      </c>
      <c r="F28" s="206"/>
      <c r="G28" s="129"/>
      <c r="H28" s="129"/>
      <c r="I28" s="203"/>
    </row>
    <row r="29" spans="1:9" ht="28.5">
      <c r="A29" s="582"/>
      <c r="B29" s="591"/>
      <c r="C29" s="188" t="s">
        <v>415</v>
      </c>
      <c r="D29" s="158">
        <v>1.4999999999999999E-2</v>
      </c>
      <c r="E29" s="30">
        <f t="shared" si="0"/>
        <v>0</v>
      </c>
      <c r="F29" s="206"/>
      <c r="G29" s="129"/>
      <c r="H29" s="129"/>
      <c r="I29" s="203"/>
    </row>
    <row r="30" spans="1:9" ht="31.5">
      <c r="A30" s="582"/>
      <c r="B30" s="591" t="s">
        <v>414</v>
      </c>
      <c r="C30" s="208" t="s">
        <v>413</v>
      </c>
      <c r="D30" s="158">
        <v>1.2E-2</v>
      </c>
      <c r="E30" s="30">
        <f t="shared" si="0"/>
        <v>0</v>
      </c>
      <c r="F30" s="206"/>
      <c r="G30" s="129"/>
      <c r="H30" s="129"/>
      <c r="I30" s="203"/>
    </row>
    <row r="31" spans="1:9" ht="31.5">
      <c r="A31" s="582"/>
      <c r="B31" s="591"/>
      <c r="C31" s="208" t="s">
        <v>412</v>
      </c>
      <c r="D31" s="158">
        <v>1.2999999999999999E-2</v>
      </c>
      <c r="E31" s="30">
        <f t="shared" si="0"/>
        <v>0</v>
      </c>
      <c r="F31" s="206"/>
      <c r="G31" s="129"/>
      <c r="H31" s="129"/>
      <c r="I31" s="203"/>
    </row>
    <row r="32" spans="1:9" ht="15">
      <c r="A32" s="582"/>
      <c r="B32" s="578" t="s">
        <v>55</v>
      </c>
      <c r="C32" s="104" t="s">
        <v>411</v>
      </c>
      <c r="D32" s="158">
        <v>1.6E-2</v>
      </c>
      <c r="E32" s="30">
        <f t="shared" si="0"/>
        <v>0</v>
      </c>
      <c r="F32" s="206"/>
      <c r="G32" s="129"/>
      <c r="H32" s="129"/>
      <c r="I32" s="203"/>
    </row>
    <row r="33" spans="1:9" ht="15">
      <c r="A33" s="582"/>
      <c r="B33" s="578"/>
      <c r="C33" s="104" t="s">
        <v>410</v>
      </c>
      <c r="D33" s="158">
        <v>1.2999999999999999E-2</v>
      </c>
      <c r="E33" s="30">
        <f t="shared" si="0"/>
        <v>0</v>
      </c>
      <c r="F33" s="206"/>
      <c r="G33" s="129"/>
      <c r="H33" s="129"/>
      <c r="I33" s="203"/>
    </row>
    <row r="34" spans="1:9" ht="47.25">
      <c r="A34" s="582"/>
      <c r="B34" s="578"/>
      <c r="C34" s="207" t="s">
        <v>409</v>
      </c>
      <c r="D34" s="158">
        <v>1.4999999999999999E-2</v>
      </c>
      <c r="E34" s="30">
        <f t="shared" si="0"/>
        <v>0</v>
      </c>
      <c r="F34" s="206"/>
      <c r="G34" s="129"/>
      <c r="H34" s="129"/>
      <c r="I34" s="203"/>
    </row>
    <row r="35" spans="1:9" ht="78.75">
      <c r="A35" s="582"/>
      <c r="B35" s="578"/>
      <c r="C35" s="207" t="s">
        <v>408</v>
      </c>
      <c r="D35" s="158">
        <v>1.2E-2</v>
      </c>
      <c r="E35" s="30">
        <f t="shared" si="0"/>
        <v>0</v>
      </c>
      <c r="F35" s="206"/>
      <c r="G35" s="129"/>
      <c r="H35" s="129"/>
      <c r="I35" s="203"/>
    </row>
    <row r="36" spans="1:9" ht="31.5">
      <c r="A36" s="582"/>
      <c r="B36" s="578"/>
      <c r="C36" s="207" t="s">
        <v>407</v>
      </c>
      <c r="D36" s="158">
        <v>1.7000000000000001E-2</v>
      </c>
      <c r="E36" s="30">
        <f t="shared" si="0"/>
        <v>0</v>
      </c>
      <c r="F36" s="206"/>
      <c r="G36" s="129"/>
      <c r="H36" s="129"/>
      <c r="I36" s="203"/>
    </row>
    <row r="37" spans="1:9" ht="31.5">
      <c r="A37" s="582"/>
      <c r="B37" s="578"/>
      <c r="C37" s="207" t="s">
        <v>406</v>
      </c>
      <c r="D37" s="158">
        <v>1.2999999999999999E-2</v>
      </c>
      <c r="E37" s="30">
        <f t="shared" si="0"/>
        <v>0</v>
      </c>
      <c r="F37" s="206"/>
      <c r="G37" s="129"/>
      <c r="H37" s="129"/>
      <c r="I37" s="203"/>
    </row>
    <row r="38" spans="1:9" ht="31.5">
      <c r="A38" s="582"/>
      <c r="B38" s="578"/>
      <c r="C38" s="216" t="s">
        <v>405</v>
      </c>
      <c r="D38" s="158">
        <v>1.4E-2</v>
      </c>
      <c r="E38" s="30">
        <f t="shared" si="0"/>
        <v>0</v>
      </c>
      <c r="F38" s="206"/>
      <c r="G38" s="129"/>
      <c r="H38" s="129"/>
      <c r="I38" s="203"/>
    </row>
    <row r="39" spans="1:9" ht="42.75">
      <c r="A39" s="582"/>
      <c r="B39" s="591" t="s">
        <v>61</v>
      </c>
      <c r="C39" s="104" t="s">
        <v>404</v>
      </c>
      <c r="D39" s="158">
        <v>1.4999999999999999E-2</v>
      </c>
      <c r="E39" s="30">
        <f t="shared" si="0"/>
        <v>0</v>
      </c>
      <c r="F39" s="206"/>
      <c r="G39" s="129"/>
      <c r="H39" s="129"/>
      <c r="I39" s="203"/>
    </row>
    <row r="40" spans="1:9" ht="15">
      <c r="A40" s="582"/>
      <c r="B40" s="591"/>
      <c r="C40" s="184" t="s">
        <v>403</v>
      </c>
      <c r="D40" s="158">
        <v>1.2E-2</v>
      </c>
      <c r="E40" s="30">
        <f t="shared" si="0"/>
        <v>0</v>
      </c>
      <c r="F40" s="206"/>
      <c r="G40" s="129"/>
      <c r="H40" s="129"/>
      <c r="I40" s="203"/>
    </row>
    <row r="41" spans="1:9" ht="28.5">
      <c r="A41" s="582"/>
      <c r="B41" s="591"/>
      <c r="C41" s="104" t="s">
        <v>402</v>
      </c>
      <c r="D41" s="158">
        <v>1.6E-2</v>
      </c>
      <c r="E41" s="30">
        <f t="shared" si="0"/>
        <v>0</v>
      </c>
      <c r="F41" s="206"/>
      <c r="G41" s="129"/>
      <c r="H41" s="129"/>
      <c r="I41" s="203"/>
    </row>
    <row r="42" spans="1:9" ht="15.75">
      <c r="A42" s="582"/>
      <c r="B42" s="591"/>
      <c r="C42" s="215" t="s">
        <v>401</v>
      </c>
      <c r="D42" s="158">
        <v>1.2999999999999999E-2</v>
      </c>
      <c r="E42" s="30">
        <f t="shared" si="0"/>
        <v>0</v>
      </c>
      <c r="F42" s="206"/>
      <c r="G42" s="129"/>
      <c r="H42" s="129"/>
      <c r="I42" s="203"/>
    </row>
    <row r="43" spans="1:9" ht="28.5">
      <c r="A43" s="582"/>
      <c r="B43" s="591" t="s">
        <v>400</v>
      </c>
      <c r="C43" s="104" t="s">
        <v>399</v>
      </c>
      <c r="D43" s="158">
        <v>1.4E-2</v>
      </c>
      <c r="E43" s="30">
        <f t="shared" si="0"/>
        <v>0</v>
      </c>
      <c r="F43" s="206"/>
      <c r="G43" s="129"/>
      <c r="H43" s="129"/>
      <c r="I43" s="203"/>
    </row>
    <row r="44" spans="1:9" ht="15">
      <c r="A44" s="582"/>
      <c r="B44" s="591"/>
      <c r="C44" s="214" t="s">
        <v>398</v>
      </c>
      <c r="D44" s="158">
        <v>1.4999999999999999E-2</v>
      </c>
      <c r="E44" s="30">
        <f t="shared" si="0"/>
        <v>0</v>
      </c>
      <c r="F44" s="206"/>
      <c r="G44" s="129"/>
      <c r="H44" s="129"/>
      <c r="I44" s="203"/>
    </row>
    <row r="45" spans="1:9" ht="42.75">
      <c r="A45" s="582"/>
      <c r="B45" s="591"/>
      <c r="C45" s="104" t="s">
        <v>397</v>
      </c>
      <c r="D45" s="158">
        <v>1.2E-2</v>
      </c>
      <c r="E45" s="30">
        <f t="shared" si="0"/>
        <v>0</v>
      </c>
      <c r="F45" s="206"/>
      <c r="G45" s="129"/>
      <c r="H45" s="129"/>
      <c r="I45" s="203"/>
    </row>
    <row r="46" spans="1:9" ht="42.75">
      <c r="A46" s="582"/>
      <c r="B46" s="591"/>
      <c r="C46" s="104" t="s">
        <v>396</v>
      </c>
      <c r="D46" s="158">
        <v>1.6E-2</v>
      </c>
      <c r="E46" s="30">
        <f t="shared" si="0"/>
        <v>0</v>
      </c>
      <c r="F46" s="206"/>
      <c r="G46" s="129"/>
      <c r="H46" s="129"/>
      <c r="I46" s="203"/>
    </row>
    <row r="47" spans="1:9" ht="31.5">
      <c r="A47" s="582"/>
      <c r="B47" s="551" t="s">
        <v>395</v>
      </c>
      <c r="C47" s="213" t="s">
        <v>69</v>
      </c>
      <c r="D47" s="158">
        <v>1.2999999999999999E-2</v>
      </c>
      <c r="E47" s="30">
        <f t="shared" ref="E47:E78" si="1">IF(COUNTA(F47:H47)&gt;1, "PORFAVOR MARQUE UNA SOLA OPCION", IF(OR(F47&lt;&gt;"", H47&lt;&gt;""), D47, IF(G47&lt;&gt;"", 0, 0)))</f>
        <v>0</v>
      </c>
      <c r="F47" s="212"/>
      <c r="G47" s="163"/>
      <c r="H47" s="163"/>
      <c r="I47" s="163"/>
    </row>
    <row r="48" spans="1:9" ht="47.25">
      <c r="A48" s="582"/>
      <c r="B48" s="552"/>
      <c r="C48" s="211" t="s">
        <v>70</v>
      </c>
      <c r="D48" s="158">
        <v>1.4999999999999999E-2</v>
      </c>
      <c r="E48" s="30">
        <f t="shared" si="1"/>
        <v>0</v>
      </c>
      <c r="F48" s="210"/>
      <c r="G48" s="113"/>
      <c r="H48" s="113"/>
      <c r="I48" s="163"/>
    </row>
    <row r="49" spans="1:9" ht="47.25">
      <c r="A49" s="582"/>
      <c r="B49" s="552"/>
      <c r="C49" s="211" t="s">
        <v>71</v>
      </c>
      <c r="D49" s="158">
        <v>1.2E-2</v>
      </c>
      <c r="E49" s="30">
        <f t="shared" si="1"/>
        <v>0</v>
      </c>
      <c r="F49" s="210"/>
      <c r="G49" s="113"/>
      <c r="H49" s="113"/>
      <c r="I49" s="163"/>
    </row>
    <row r="50" spans="1:9" ht="31.5">
      <c r="A50" s="582"/>
      <c r="B50" s="553"/>
      <c r="C50" s="211" t="s">
        <v>394</v>
      </c>
      <c r="D50" s="158">
        <v>1.4E-2</v>
      </c>
      <c r="E50" s="30">
        <f t="shared" si="1"/>
        <v>0</v>
      </c>
      <c r="F50" s="210"/>
      <c r="G50" s="113"/>
      <c r="H50" s="113"/>
      <c r="I50" s="163"/>
    </row>
    <row r="51" spans="1:9" ht="42.75">
      <c r="A51" s="582"/>
      <c r="B51" s="578" t="s">
        <v>73</v>
      </c>
      <c r="C51" s="179" t="s">
        <v>393</v>
      </c>
      <c r="D51" s="158">
        <v>1.4999999999999999E-2</v>
      </c>
      <c r="E51" s="30">
        <f t="shared" si="1"/>
        <v>0</v>
      </c>
      <c r="F51" s="205"/>
      <c r="G51" s="129"/>
      <c r="H51" s="36"/>
      <c r="I51" s="204"/>
    </row>
    <row r="52" spans="1:9" ht="47.25">
      <c r="A52" s="582"/>
      <c r="B52" s="578"/>
      <c r="C52" s="208" t="s">
        <v>392</v>
      </c>
      <c r="D52" s="158">
        <v>1.2999999999999999E-2</v>
      </c>
      <c r="E52" s="30">
        <f t="shared" si="1"/>
        <v>0</v>
      </c>
      <c r="F52" s="205"/>
      <c r="G52" s="129"/>
      <c r="H52" s="36"/>
      <c r="I52" s="204"/>
    </row>
    <row r="53" spans="1:9" ht="31.5">
      <c r="A53" s="582"/>
      <c r="B53" s="578"/>
      <c r="C53" s="209" t="s">
        <v>391</v>
      </c>
      <c r="D53" s="158">
        <v>1.6E-2</v>
      </c>
      <c r="E53" s="30">
        <f t="shared" si="1"/>
        <v>0</v>
      </c>
      <c r="F53" s="205"/>
      <c r="G53" s="129"/>
      <c r="H53" s="36"/>
      <c r="I53" s="204"/>
    </row>
    <row r="54" spans="1:9" ht="31.5">
      <c r="A54" s="582"/>
      <c r="B54" s="578"/>
      <c r="C54" s="208" t="s">
        <v>390</v>
      </c>
      <c r="D54" s="158">
        <v>1.2E-2</v>
      </c>
      <c r="E54" s="30">
        <f t="shared" si="1"/>
        <v>0</v>
      </c>
      <c r="F54" s="205"/>
      <c r="G54" s="129"/>
      <c r="H54" s="36"/>
      <c r="I54" s="204"/>
    </row>
    <row r="55" spans="1:9" ht="31.5">
      <c r="A55" s="582"/>
      <c r="B55" s="578"/>
      <c r="C55" s="208" t="s">
        <v>389</v>
      </c>
      <c r="D55" s="158">
        <v>1.4999999999999999E-2</v>
      </c>
      <c r="E55" s="30">
        <f t="shared" si="1"/>
        <v>0</v>
      </c>
      <c r="F55" s="205"/>
      <c r="G55" s="129"/>
      <c r="H55" s="36"/>
      <c r="I55" s="204"/>
    </row>
    <row r="56" spans="1:9" ht="34.5" customHeight="1">
      <c r="A56" s="582"/>
      <c r="B56" s="578"/>
      <c r="C56" s="134" t="s">
        <v>80</v>
      </c>
      <c r="D56" s="158">
        <v>1.2999999999999999E-2</v>
      </c>
      <c r="E56" s="30">
        <f t="shared" si="1"/>
        <v>0</v>
      </c>
      <c r="F56" s="205"/>
      <c r="G56" s="129"/>
      <c r="H56" s="36"/>
      <c r="I56" s="204"/>
    </row>
    <row r="57" spans="1:9" ht="15">
      <c r="A57" s="582"/>
      <c r="B57" s="591" t="s">
        <v>85</v>
      </c>
      <c r="C57" s="179" t="s">
        <v>388</v>
      </c>
      <c r="D57" s="158">
        <v>1.4E-2</v>
      </c>
      <c r="E57" s="30">
        <f t="shared" si="1"/>
        <v>0</v>
      </c>
      <c r="F57" s="205"/>
      <c r="G57" s="129"/>
      <c r="H57" s="36"/>
      <c r="I57" s="204"/>
    </row>
    <row r="58" spans="1:9" ht="57">
      <c r="A58" s="582"/>
      <c r="B58" s="591"/>
      <c r="C58" s="188" t="s">
        <v>387</v>
      </c>
      <c r="D58" s="158">
        <v>1.4999999999999999E-2</v>
      </c>
      <c r="E58" s="30">
        <f t="shared" si="1"/>
        <v>0</v>
      </c>
      <c r="F58" s="205"/>
      <c r="G58" s="129"/>
      <c r="H58" s="36"/>
      <c r="I58" s="204"/>
    </row>
    <row r="59" spans="1:9" ht="28.5">
      <c r="A59" s="582"/>
      <c r="B59" s="591"/>
      <c r="C59" s="181" t="s">
        <v>386</v>
      </c>
      <c r="D59" s="158">
        <v>1.2E-2</v>
      </c>
      <c r="E59" s="30">
        <f t="shared" si="1"/>
        <v>0</v>
      </c>
      <c r="F59" s="205"/>
      <c r="G59" s="129"/>
      <c r="H59" s="36"/>
      <c r="I59" s="204"/>
    </row>
    <row r="60" spans="1:9" ht="31.5">
      <c r="A60" s="583"/>
      <c r="B60" s="75" t="s">
        <v>95</v>
      </c>
      <c r="C60" s="207" t="s">
        <v>96</v>
      </c>
      <c r="D60" s="158">
        <v>1.6E-2</v>
      </c>
      <c r="E60" s="30">
        <f t="shared" si="1"/>
        <v>0</v>
      </c>
      <c r="F60" s="206"/>
      <c r="G60" s="129"/>
      <c r="H60" s="129"/>
      <c r="I60" s="203"/>
    </row>
    <row r="61" spans="1:9" ht="15.75">
      <c r="A61" s="598" t="s">
        <v>385</v>
      </c>
      <c r="B61" s="579" t="s">
        <v>384</v>
      </c>
      <c r="C61" s="580"/>
      <c r="D61" s="158">
        <v>1.2999999999999999E-2</v>
      </c>
      <c r="E61" s="30">
        <f t="shared" si="1"/>
        <v>0</v>
      </c>
      <c r="F61" s="206"/>
      <c r="G61" s="129"/>
      <c r="H61" s="129"/>
      <c r="I61" s="203"/>
    </row>
    <row r="62" spans="1:9" ht="15.75">
      <c r="A62" s="598"/>
      <c r="B62" s="579" t="s">
        <v>383</v>
      </c>
      <c r="C62" s="580"/>
      <c r="D62" s="158">
        <v>1.4999999999999999E-2</v>
      </c>
      <c r="E62" s="30">
        <f t="shared" si="1"/>
        <v>0</v>
      </c>
      <c r="F62" s="206"/>
      <c r="G62" s="129"/>
      <c r="H62" s="129"/>
      <c r="I62" s="203"/>
    </row>
    <row r="63" spans="1:9" ht="15.75">
      <c r="A63" s="578" t="s">
        <v>382</v>
      </c>
      <c r="B63" s="599" t="s">
        <v>381</v>
      </c>
      <c r="C63" s="600"/>
      <c r="D63" s="158">
        <v>1.2E-2</v>
      </c>
      <c r="E63" s="30">
        <f t="shared" si="1"/>
        <v>0</v>
      </c>
      <c r="F63" s="206"/>
      <c r="G63" s="129"/>
      <c r="H63" s="129"/>
      <c r="I63" s="203"/>
    </row>
    <row r="64" spans="1:9" ht="31.5" customHeight="1">
      <c r="A64" s="578"/>
      <c r="B64" s="601" t="s">
        <v>380</v>
      </c>
      <c r="C64" s="602"/>
      <c r="D64" s="158">
        <v>1.4E-2</v>
      </c>
      <c r="E64" s="30">
        <f t="shared" si="1"/>
        <v>0</v>
      </c>
      <c r="F64" s="206"/>
      <c r="G64" s="129"/>
      <c r="H64" s="129"/>
      <c r="I64" s="203"/>
    </row>
    <row r="65" spans="1:9" ht="15">
      <c r="A65" s="578"/>
      <c r="B65" s="589" t="s">
        <v>379</v>
      </c>
      <c r="C65" s="590"/>
      <c r="D65" s="158">
        <v>1.9E-2</v>
      </c>
      <c r="E65" s="30">
        <f t="shared" si="1"/>
        <v>0</v>
      </c>
      <c r="F65" s="206"/>
      <c r="G65" s="129"/>
      <c r="H65" s="129"/>
      <c r="I65" s="203"/>
    </row>
    <row r="66" spans="1:9" ht="15.75">
      <c r="A66" s="42" t="s">
        <v>378</v>
      </c>
      <c r="B66" s="601" t="s">
        <v>377</v>
      </c>
      <c r="C66" s="602"/>
      <c r="D66" s="158">
        <v>1.2999999999999999E-2</v>
      </c>
      <c r="E66" s="30">
        <f t="shared" si="1"/>
        <v>0</v>
      </c>
      <c r="F66" s="206"/>
      <c r="G66" s="129"/>
      <c r="H66" s="129"/>
      <c r="I66" s="203"/>
    </row>
    <row r="67" spans="1:9" ht="29.25" customHeight="1">
      <c r="A67" s="578" t="s">
        <v>376</v>
      </c>
      <c r="B67" s="589" t="s">
        <v>375</v>
      </c>
      <c r="C67" s="590"/>
      <c r="D67" s="158">
        <v>1.9E-2</v>
      </c>
      <c r="E67" s="30">
        <f t="shared" si="1"/>
        <v>0</v>
      </c>
      <c r="F67" s="206"/>
      <c r="G67" s="129"/>
      <c r="H67" s="129"/>
      <c r="I67" s="203"/>
    </row>
    <row r="68" spans="1:9" ht="15">
      <c r="A68" s="578"/>
      <c r="B68" s="592" t="s">
        <v>374</v>
      </c>
      <c r="C68" s="593"/>
      <c r="D68" s="158">
        <v>1.9E-2</v>
      </c>
      <c r="E68" s="30">
        <f t="shared" si="1"/>
        <v>0</v>
      </c>
      <c r="F68" s="205"/>
      <c r="G68" s="129"/>
      <c r="H68" s="36"/>
      <c r="I68" s="203"/>
    </row>
    <row r="69" spans="1:9" ht="15">
      <c r="A69" s="581" t="s">
        <v>373</v>
      </c>
      <c r="B69" s="592" t="s">
        <v>119</v>
      </c>
      <c r="C69" s="593"/>
      <c r="D69" s="158">
        <v>1.7999999999999999E-2</v>
      </c>
      <c r="E69" s="30">
        <f t="shared" si="1"/>
        <v>0</v>
      </c>
      <c r="F69" s="205"/>
      <c r="G69" s="129"/>
      <c r="H69" s="36"/>
      <c r="I69" s="204"/>
    </row>
    <row r="70" spans="1:9" ht="15">
      <c r="A70" s="582"/>
      <c r="B70" s="592" t="s">
        <v>372</v>
      </c>
      <c r="C70" s="593"/>
      <c r="D70" s="158">
        <v>0.01</v>
      </c>
      <c r="E70" s="30">
        <f t="shared" si="1"/>
        <v>0</v>
      </c>
      <c r="F70" s="205"/>
      <c r="G70" s="129"/>
      <c r="H70" s="36"/>
      <c r="I70" s="204"/>
    </row>
    <row r="71" spans="1:9" ht="15">
      <c r="A71" s="582"/>
      <c r="B71" s="594" t="s">
        <v>121</v>
      </c>
      <c r="C71" s="595"/>
      <c r="D71" s="158">
        <v>1.7999999999999999E-2</v>
      </c>
      <c r="E71" s="30">
        <f t="shared" si="1"/>
        <v>0</v>
      </c>
      <c r="F71" s="205"/>
      <c r="G71" s="129"/>
      <c r="H71" s="36"/>
      <c r="I71" s="204"/>
    </row>
    <row r="72" spans="1:9" ht="15">
      <c r="A72" s="583"/>
      <c r="B72" s="596" t="s">
        <v>371</v>
      </c>
      <c r="C72" s="597"/>
      <c r="D72" s="158">
        <v>1.4999999999999999E-2</v>
      </c>
      <c r="E72" s="30">
        <f t="shared" si="1"/>
        <v>0</v>
      </c>
      <c r="F72" s="196"/>
      <c r="G72" s="202"/>
      <c r="H72" s="200"/>
      <c r="I72" s="203"/>
    </row>
    <row r="73" spans="1:9" ht="15">
      <c r="A73" s="614" t="s">
        <v>370</v>
      </c>
      <c r="B73" s="605" t="s">
        <v>123</v>
      </c>
      <c r="C73" s="606"/>
      <c r="D73" s="158">
        <v>0.02</v>
      </c>
      <c r="E73" s="30">
        <f t="shared" si="1"/>
        <v>0</v>
      </c>
      <c r="F73" s="196"/>
      <c r="G73" s="202"/>
      <c r="H73" s="200"/>
      <c r="I73" s="199"/>
    </row>
    <row r="74" spans="1:9" ht="15">
      <c r="A74" s="615"/>
      <c r="B74" s="605" t="s">
        <v>124</v>
      </c>
      <c r="C74" s="606"/>
      <c r="D74" s="158">
        <v>1.6E-2</v>
      </c>
      <c r="E74" s="30">
        <f t="shared" si="1"/>
        <v>0</v>
      </c>
      <c r="F74" s="196"/>
      <c r="G74" s="202"/>
      <c r="H74" s="200"/>
      <c r="I74" s="199"/>
    </row>
    <row r="75" spans="1:9" ht="15">
      <c r="A75" s="615"/>
      <c r="B75" s="603" t="s">
        <v>369</v>
      </c>
      <c r="C75" s="604"/>
      <c r="D75" s="158">
        <v>1.2999999999999999E-2</v>
      </c>
      <c r="E75" s="30">
        <f t="shared" si="1"/>
        <v>0</v>
      </c>
      <c r="F75" s="196"/>
      <c r="G75" s="201"/>
      <c r="H75" s="200"/>
      <c r="I75" s="199"/>
    </row>
    <row r="76" spans="1:9" ht="15">
      <c r="A76" s="615"/>
      <c r="B76" s="616" t="s">
        <v>126</v>
      </c>
      <c r="C76" s="617"/>
      <c r="D76" s="158">
        <v>1.4999999999999999E-2</v>
      </c>
      <c r="E76" s="30">
        <f t="shared" si="1"/>
        <v>0</v>
      </c>
      <c r="F76" s="196"/>
      <c r="G76" s="201"/>
      <c r="H76" s="200"/>
      <c r="I76" s="199"/>
    </row>
    <row r="77" spans="1:9" ht="15">
      <c r="A77" s="615"/>
      <c r="B77" s="605" t="s">
        <v>127</v>
      </c>
      <c r="C77" s="606"/>
      <c r="D77" s="158">
        <v>0.02</v>
      </c>
      <c r="E77" s="30">
        <f t="shared" si="1"/>
        <v>0</v>
      </c>
      <c r="F77" s="196"/>
      <c r="G77" s="201"/>
      <c r="H77" s="200"/>
      <c r="I77" s="199"/>
    </row>
    <row r="78" spans="1:9" ht="15">
      <c r="A78" s="615"/>
      <c r="B78" s="198" t="s">
        <v>368</v>
      </c>
      <c r="C78" s="197"/>
      <c r="D78" s="158">
        <v>1.4E-2</v>
      </c>
      <c r="E78" s="30">
        <f t="shared" si="1"/>
        <v>0</v>
      </c>
      <c r="F78" s="196"/>
      <c r="G78" s="201"/>
      <c r="H78" s="200"/>
      <c r="I78" s="199"/>
    </row>
    <row r="79" spans="1:9" ht="15">
      <c r="A79" s="615"/>
      <c r="B79" s="198" t="s">
        <v>367</v>
      </c>
      <c r="C79" s="197"/>
      <c r="D79" s="158">
        <v>1.6E-2</v>
      </c>
      <c r="E79" s="30">
        <f t="shared" ref="E79:E110" si="2">IF(COUNTA(F79:H79)&gt;1, "PORFAVOR MARQUE UNA SOLA OPCION", IF(OR(F79&lt;&gt;"", H79&lt;&gt;""), D79, IF(G79&lt;&gt;"", 0, 0)))</f>
        <v>0</v>
      </c>
      <c r="F79" s="196"/>
      <c r="G79" s="201"/>
      <c r="H79" s="200"/>
      <c r="I79" s="199"/>
    </row>
    <row r="80" spans="1:9" ht="15">
      <c r="A80" s="615"/>
      <c r="B80" s="603" t="s">
        <v>366</v>
      </c>
      <c r="C80" s="604"/>
      <c r="D80" s="158">
        <v>1.2999999999999999E-2</v>
      </c>
      <c r="E80" s="30">
        <f t="shared" si="2"/>
        <v>0</v>
      </c>
      <c r="F80" s="196"/>
      <c r="G80" s="201"/>
      <c r="H80" s="200"/>
      <c r="I80" s="199"/>
    </row>
    <row r="81" spans="1:9" ht="15">
      <c r="A81" s="615"/>
      <c r="B81" s="603" t="s">
        <v>365</v>
      </c>
      <c r="C81" s="604"/>
      <c r="D81" s="158">
        <v>1.4999999999999999E-2</v>
      </c>
      <c r="E81" s="30">
        <f t="shared" si="2"/>
        <v>0</v>
      </c>
      <c r="F81" s="196"/>
      <c r="G81" s="201"/>
      <c r="H81" s="200"/>
      <c r="I81" s="199"/>
    </row>
    <row r="82" spans="1:9" ht="15">
      <c r="A82" s="615"/>
      <c r="B82" s="605" t="s">
        <v>364</v>
      </c>
      <c r="C82" s="606"/>
      <c r="D82" s="158">
        <v>1.7999999999999999E-2</v>
      </c>
      <c r="E82" s="30">
        <f t="shared" si="2"/>
        <v>0</v>
      </c>
      <c r="F82" s="196"/>
      <c r="G82" s="201"/>
      <c r="H82" s="200"/>
      <c r="I82" s="199"/>
    </row>
    <row r="83" spans="1:9" ht="15">
      <c r="A83" s="615"/>
      <c r="B83" s="198" t="s">
        <v>363</v>
      </c>
      <c r="C83" s="197"/>
      <c r="D83" s="158">
        <v>1.6E-2</v>
      </c>
      <c r="E83" s="30">
        <f t="shared" si="2"/>
        <v>0</v>
      </c>
      <c r="F83" s="196"/>
      <c r="G83" s="195"/>
      <c r="H83" s="118"/>
      <c r="I83" s="194"/>
    </row>
    <row r="84" spans="1:9" ht="15.75" thickBot="1">
      <c r="A84" s="610" t="s">
        <v>14</v>
      </c>
      <c r="B84" s="610"/>
      <c r="C84" s="611"/>
      <c r="D84" s="121">
        <f>SUM(D15:D83)</f>
        <v>1.0000000000000007</v>
      </c>
      <c r="E84" s="80"/>
      <c r="F84" s="111">
        <f>COUNT(F15:F83)</f>
        <v>0</v>
      </c>
      <c r="G84" s="111">
        <f>COUNT(G15:G83)</f>
        <v>0</v>
      </c>
      <c r="H84" s="111">
        <f>COUNT(H15:H83)</f>
        <v>0</v>
      </c>
      <c r="I84" s="193"/>
    </row>
    <row r="85" spans="1:9" ht="15">
      <c r="A85" s="612"/>
      <c r="B85" s="612"/>
      <c r="C85" s="613"/>
      <c r="D85" s="110"/>
      <c r="E85" s="31"/>
      <c r="F85" s="607">
        <f>IFERROR((F84/((F84+G84+H84)-H84)),0)</f>
        <v>0</v>
      </c>
      <c r="G85" s="608"/>
      <c r="H85" s="609"/>
    </row>
    <row r="87" spans="1:9" ht="30.75" customHeight="1">
      <c r="A87" s="15" t="s">
        <v>20</v>
      </c>
      <c r="B87" s="16" t="s">
        <v>15</v>
      </c>
      <c r="C87" s="24"/>
      <c r="D87" s="16"/>
      <c r="E87" s="25"/>
      <c r="F87" s="25"/>
      <c r="G87" s="25"/>
      <c r="H87" s="26"/>
    </row>
    <row r="88" spans="1:9" ht="30.75" customHeight="1">
      <c r="A88" s="17" t="s">
        <v>21</v>
      </c>
      <c r="B88" s="475" t="s">
        <v>22</v>
      </c>
      <c r="C88" s="476"/>
      <c r="D88" s="476"/>
      <c r="E88" s="476"/>
      <c r="F88" s="476"/>
      <c r="G88" s="476"/>
      <c r="H88" s="476"/>
    </row>
    <row r="89" spans="1:9" ht="30.75" customHeight="1">
      <c r="A89" s="18" t="s">
        <v>23</v>
      </c>
      <c r="B89" s="475" t="s">
        <v>16</v>
      </c>
      <c r="C89" s="475"/>
      <c r="D89" s="475"/>
      <c r="E89" s="475"/>
      <c r="F89" s="475"/>
      <c r="G89" s="475"/>
      <c r="H89" s="475"/>
    </row>
    <row r="90" spans="1:9" ht="30.75" customHeight="1">
      <c r="A90" s="19" t="s">
        <v>17</v>
      </c>
      <c r="B90" s="475" t="s">
        <v>18</v>
      </c>
      <c r="C90" s="475"/>
      <c r="D90" s="475"/>
      <c r="E90" s="475"/>
      <c r="F90" s="475"/>
      <c r="G90" s="475"/>
      <c r="H90" s="475"/>
    </row>
  </sheetData>
  <mergeCells count="61">
    <mergeCell ref="B88:H88"/>
    <mergeCell ref="B89:H89"/>
    <mergeCell ref="B90:H90"/>
    <mergeCell ref="A73:A83"/>
    <mergeCell ref="B73:C73"/>
    <mergeCell ref="B74:C74"/>
    <mergeCell ref="B75:C75"/>
    <mergeCell ref="B76:C76"/>
    <mergeCell ref="B77:C77"/>
    <mergeCell ref="B80:C80"/>
    <mergeCell ref="B81:C81"/>
    <mergeCell ref="B82:C82"/>
    <mergeCell ref="F85:H85"/>
    <mergeCell ref="A84:C85"/>
    <mergeCell ref="B66:C66"/>
    <mergeCell ref="A67:A68"/>
    <mergeCell ref="B67:C67"/>
    <mergeCell ref="B68:C68"/>
    <mergeCell ref="A69:A72"/>
    <mergeCell ref="B69:C69"/>
    <mergeCell ref="B70:C70"/>
    <mergeCell ref="B71:C71"/>
    <mergeCell ref="B72:C72"/>
    <mergeCell ref="B57:B59"/>
    <mergeCell ref="A61:A62"/>
    <mergeCell ref="B61:C61"/>
    <mergeCell ref="B62:C62"/>
    <mergeCell ref="A63:A65"/>
    <mergeCell ref="B63:C63"/>
    <mergeCell ref="B64:C64"/>
    <mergeCell ref="B65:C65"/>
    <mergeCell ref="A23:A60"/>
    <mergeCell ref="B23:B25"/>
    <mergeCell ref="B26:B27"/>
    <mergeCell ref="B28:B29"/>
    <mergeCell ref="B30:B31"/>
    <mergeCell ref="B32:B38"/>
    <mergeCell ref="B39:B42"/>
    <mergeCell ref="B43:B46"/>
    <mergeCell ref="B51:B56"/>
    <mergeCell ref="B1:G2"/>
    <mergeCell ref="C5:G5"/>
    <mergeCell ref="A10:C10"/>
    <mergeCell ref="F10:I10"/>
    <mergeCell ref="D11:D14"/>
    <mergeCell ref="E11:E14"/>
    <mergeCell ref="B47:B50"/>
    <mergeCell ref="A11:C14"/>
    <mergeCell ref="F11:I11"/>
    <mergeCell ref="F13:H13"/>
    <mergeCell ref="I13:I14"/>
    <mergeCell ref="A15:A16"/>
    <mergeCell ref="B15:C15"/>
    <mergeCell ref="B16:C16"/>
    <mergeCell ref="A17:A22"/>
    <mergeCell ref="B17:C17"/>
    <mergeCell ref="B18:C18"/>
    <mergeCell ref="B19:C19"/>
    <mergeCell ref="B20:C20"/>
    <mergeCell ref="B22:C22"/>
    <mergeCell ref="B21:C21"/>
  </mergeCells>
  <conditionalFormatting sqref="F85:H85">
    <cfRule type="colorScale" priority="5">
      <colorScale>
        <cfvo type="num" val="0.5"/>
        <cfvo type="num" val="0.7"/>
        <cfvo type="num" val="1"/>
        <color rgb="FFFF0000"/>
        <color rgb="FFFFEB84"/>
        <color theme="9" tint="-0.249977111117893"/>
      </colorScale>
    </cfRule>
  </conditionalFormatting>
  <conditionalFormatting sqref="E15:E83">
    <cfRule type="cellIs" dxfId="20" priority="1" operator="equal">
      <formula>0</formula>
    </cfRule>
    <cfRule type="containsText" dxfId="19" priority="2" operator="containsText" text="PORFAVOR MARQUE UNA SOLA OPCION">
      <formula>NOT(ISERROR(SEARCH("PORFAVOR MARQUE UNA SOLA OPCION",E15)))</formula>
    </cfRule>
    <cfRule type="cellIs" dxfId="18" priority="3" operator="greaterThan">
      <formula>0</formula>
    </cfRule>
  </conditionalFormatting>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6847-2748-4E18-B0DA-8D3D435F17C7}">
  <dimension ref="A1:I98"/>
  <sheetViews>
    <sheetView topLeftCell="A70" zoomScale="81" zoomScaleNormal="81" workbookViewId="0">
      <selection activeCell="F93" sqref="F93:H93"/>
    </sheetView>
  </sheetViews>
  <sheetFormatPr baseColWidth="10" defaultRowHeight="14.25"/>
  <cols>
    <col min="1" max="1" width="39.625" customWidth="1"/>
    <col min="2" max="2" width="40.125" customWidth="1"/>
    <col min="3" max="3" width="64.125" customWidth="1"/>
    <col min="4" max="4" width="20.125" customWidth="1"/>
    <col min="5" max="5" width="20.125" style="134" customWidth="1"/>
    <col min="6" max="6" width="18.125" customWidth="1"/>
    <col min="7" max="7" width="15.625" customWidth="1"/>
    <col min="8" max="8" width="28.5" customWidth="1"/>
    <col min="9" max="9" width="20.125" customWidth="1"/>
  </cols>
  <sheetData>
    <row r="1" spans="1:9">
      <c r="A1" s="33"/>
      <c r="C1" s="621"/>
      <c r="D1" s="621"/>
      <c r="E1" s="621"/>
      <c r="F1" s="621"/>
      <c r="G1" s="621"/>
    </row>
    <row r="2" spans="1:9">
      <c r="A2" s="33"/>
      <c r="C2" s="35"/>
      <c r="D2" s="35"/>
      <c r="E2" s="35"/>
      <c r="F2" s="35"/>
      <c r="G2" s="35"/>
    </row>
    <row r="3" spans="1:9">
      <c r="A3" s="33"/>
      <c r="B3" s="568" t="s">
        <v>26</v>
      </c>
      <c r="C3" s="568"/>
      <c r="D3" s="568"/>
      <c r="E3" s="568"/>
      <c r="F3" s="568"/>
      <c r="G3" s="568"/>
    </row>
    <row r="4" spans="1:9">
      <c r="A4" s="33"/>
      <c r="B4" s="568"/>
      <c r="C4" s="568"/>
      <c r="D4" s="568"/>
      <c r="E4" s="568"/>
      <c r="F4" s="568"/>
      <c r="G4" s="568"/>
    </row>
    <row r="5" spans="1:9">
      <c r="A5" s="1"/>
      <c r="C5" s="1"/>
      <c r="D5" s="1"/>
      <c r="E5" s="329"/>
    </row>
    <row r="6" spans="1:9">
      <c r="A6" s="1"/>
      <c r="C6" s="1"/>
      <c r="D6" s="1"/>
      <c r="E6" s="329"/>
    </row>
    <row r="7" spans="1:9">
      <c r="A7" s="2" t="s">
        <v>1</v>
      </c>
      <c r="B7" s="3"/>
      <c r="C7" s="569" t="s">
        <v>2</v>
      </c>
      <c r="D7" s="570"/>
      <c r="E7" s="570"/>
      <c r="F7" s="570"/>
      <c r="G7" s="571"/>
    </row>
    <row r="8" spans="1:9">
      <c r="A8" s="2" t="s">
        <v>3</v>
      </c>
      <c r="B8" s="4"/>
      <c r="C8" s="5" t="s">
        <v>4</v>
      </c>
      <c r="D8" s="5"/>
      <c r="E8" s="2"/>
      <c r="F8" s="5" t="s">
        <v>5</v>
      </c>
      <c r="G8" s="5" t="s">
        <v>6</v>
      </c>
    </row>
    <row r="9" spans="1:9">
      <c r="A9" s="2" t="s">
        <v>7</v>
      </c>
      <c r="B9" s="3"/>
      <c r="C9" s="6">
        <v>1</v>
      </c>
      <c r="D9" s="6"/>
      <c r="E9" s="330"/>
      <c r="F9" s="7">
        <v>0</v>
      </c>
      <c r="G9" s="5">
        <v>1</v>
      </c>
    </row>
    <row r="10" spans="1:9" ht="15" thickBot="1"/>
    <row r="11" spans="1:9" ht="16.5" thickBot="1">
      <c r="A11" s="633" t="s">
        <v>27</v>
      </c>
      <c r="B11" s="633"/>
      <c r="C11" s="633"/>
      <c r="D11" s="243"/>
      <c r="E11" s="229"/>
      <c r="F11" s="561" t="s">
        <v>306</v>
      </c>
      <c r="G11" s="561"/>
      <c r="H11" s="561"/>
      <c r="I11" s="562"/>
    </row>
    <row r="12" spans="1:9" ht="15.75">
      <c r="A12" s="243"/>
      <c r="B12" s="243"/>
      <c r="C12" s="243" t="s">
        <v>27</v>
      </c>
      <c r="D12" s="625" t="s">
        <v>24</v>
      </c>
      <c r="E12" s="628" t="s">
        <v>25</v>
      </c>
      <c r="F12" s="561" t="s">
        <v>460</v>
      </c>
      <c r="G12" s="561"/>
      <c r="H12" s="561"/>
      <c r="I12" s="562"/>
    </row>
    <row r="13" spans="1:9" ht="15">
      <c r="A13" s="622" t="s">
        <v>8</v>
      </c>
      <c r="B13" s="622"/>
      <c r="C13" s="622"/>
      <c r="D13" s="626"/>
      <c r="E13" s="629"/>
      <c r="F13" s="11"/>
      <c r="G13" s="9"/>
      <c r="H13" s="10"/>
      <c r="I13" s="10"/>
    </row>
    <row r="14" spans="1:9">
      <c r="A14" s="622"/>
      <c r="B14" s="622"/>
      <c r="C14" s="622"/>
      <c r="D14" s="626"/>
      <c r="E14" s="629"/>
      <c r="F14" s="564" t="s">
        <v>2</v>
      </c>
      <c r="G14" s="564"/>
      <c r="H14" s="565"/>
      <c r="I14" s="631" t="s">
        <v>0</v>
      </c>
    </row>
    <row r="15" spans="1:9">
      <c r="A15" s="622"/>
      <c r="B15" s="622"/>
      <c r="C15" s="622"/>
      <c r="D15" s="627"/>
      <c r="E15" s="630"/>
      <c r="F15" s="39" t="s">
        <v>4</v>
      </c>
      <c r="G15" s="40" t="s">
        <v>5</v>
      </c>
      <c r="H15" s="40" t="s">
        <v>30</v>
      </c>
      <c r="I15" s="632"/>
    </row>
    <row r="16" spans="1:9" ht="36.75" customHeight="1">
      <c r="A16" s="75" t="s">
        <v>31</v>
      </c>
      <c r="B16" s="619" t="s">
        <v>32</v>
      </c>
      <c r="C16" s="619"/>
      <c r="D16" s="158">
        <v>1.2E-2</v>
      </c>
      <c r="E16" s="30">
        <f t="shared" ref="E16:E47" si="0">IF(COUNTA(F16:H16)&gt;1, "PORFAVOR MARQUE UNA SOLA OPCION", IF(OR(F16&lt;&gt;"", H16&lt;&gt;""), D16, IF(G16&lt;&gt;"", 0, 0)))</f>
        <v>0</v>
      </c>
      <c r="F16" s="242"/>
      <c r="G16" s="55"/>
      <c r="H16" s="55"/>
      <c r="I16" s="52"/>
    </row>
    <row r="17" spans="1:9" ht="15.75">
      <c r="A17" s="598" t="s">
        <v>33</v>
      </c>
      <c r="B17" s="619" t="s">
        <v>34</v>
      </c>
      <c r="C17" s="619"/>
      <c r="D17" s="158">
        <v>1.4999999999999999E-2</v>
      </c>
      <c r="E17" s="30">
        <f t="shared" si="0"/>
        <v>0</v>
      </c>
      <c r="F17" s="234"/>
      <c r="G17" s="129"/>
      <c r="H17" s="129"/>
      <c r="I17" s="238"/>
    </row>
    <row r="18" spans="1:9" ht="15.75">
      <c r="A18" s="598"/>
      <c r="B18" s="619" t="s">
        <v>35</v>
      </c>
      <c r="C18" s="619"/>
      <c r="D18" s="158">
        <v>1.7000000000000001E-2</v>
      </c>
      <c r="E18" s="30">
        <f t="shared" si="0"/>
        <v>0</v>
      </c>
      <c r="F18" s="234"/>
      <c r="G18" s="129"/>
      <c r="H18" s="129"/>
      <c r="I18" s="238"/>
    </row>
    <row r="19" spans="1:9" ht="15.75">
      <c r="A19" s="598"/>
      <c r="B19" s="619" t="s">
        <v>36</v>
      </c>
      <c r="C19" s="619"/>
      <c r="D19" s="158">
        <v>1.0999999999999999E-2</v>
      </c>
      <c r="E19" s="30">
        <f t="shared" si="0"/>
        <v>0</v>
      </c>
      <c r="F19" s="234"/>
      <c r="G19" s="129"/>
      <c r="H19" s="129"/>
      <c r="I19" s="238"/>
    </row>
    <row r="20" spans="1:9" ht="15.75">
      <c r="A20" s="598"/>
      <c r="B20" s="619" t="s">
        <v>37</v>
      </c>
      <c r="C20" s="619"/>
      <c r="D20" s="158">
        <v>1.4E-2</v>
      </c>
      <c r="E20" s="30">
        <f t="shared" si="0"/>
        <v>0</v>
      </c>
      <c r="F20" s="234"/>
      <c r="G20" s="129"/>
      <c r="H20" s="129"/>
      <c r="I20" s="238"/>
    </row>
    <row r="21" spans="1:9" ht="15.75">
      <c r="A21" s="598"/>
      <c r="B21" s="619" t="s">
        <v>459</v>
      </c>
      <c r="C21" s="619"/>
      <c r="D21" s="158">
        <v>1.7000000000000001E-2</v>
      </c>
      <c r="E21" s="30">
        <f t="shared" si="0"/>
        <v>0</v>
      </c>
      <c r="F21" s="234"/>
      <c r="G21" s="129"/>
      <c r="H21" s="129"/>
      <c r="I21" s="238"/>
    </row>
    <row r="22" spans="1:9" ht="15.75">
      <c r="A22" s="598" t="s">
        <v>39</v>
      </c>
      <c r="B22" s="619" t="s">
        <v>458</v>
      </c>
      <c r="C22" s="619"/>
      <c r="D22" s="158">
        <v>1.0999999999999999E-2</v>
      </c>
      <c r="E22" s="30">
        <f t="shared" si="0"/>
        <v>0</v>
      </c>
      <c r="F22" s="234"/>
      <c r="G22" s="128"/>
      <c r="H22" s="128"/>
      <c r="I22" s="238"/>
    </row>
    <row r="23" spans="1:9" ht="41.25" customHeight="1">
      <c r="A23" s="598"/>
      <c r="B23" s="619" t="s">
        <v>457</v>
      </c>
      <c r="C23" s="619"/>
      <c r="D23" s="158">
        <v>0.01</v>
      </c>
      <c r="E23" s="30">
        <f t="shared" si="0"/>
        <v>0</v>
      </c>
      <c r="F23" s="234"/>
      <c r="G23" s="128"/>
      <c r="H23" s="128"/>
      <c r="I23" s="238"/>
    </row>
    <row r="24" spans="1:9" ht="41.25" customHeight="1">
      <c r="A24" s="598"/>
      <c r="B24" s="619" t="s">
        <v>456</v>
      </c>
      <c r="C24" s="619"/>
      <c r="D24" s="158">
        <v>1.2E-2</v>
      </c>
      <c r="E24" s="30">
        <f t="shared" si="0"/>
        <v>0</v>
      </c>
      <c r="F24" s="234"/>
      <c r="G24" s="128"/>
      <c r="H24" s="128"/>
      <c r="I24" s="238"/>
    </row>
    <row r="25" spans="1:9" ht="15.75">
      <c r="A25" s="598"/>
      <c r="B25" s="619" t="s">
        <v>455</v>
      </c>
      <c r="C25" s="619"/>
      <c r="D25" s="158">
        <v>0.01</v>
      </c>
      <c r="E25" s="30">
        <f t="shared" si="0"/>
        <v>0</v>
      </c>
      <c r="F25" s="234"/>
      <c r="G25" s="128"/>
      <c r="H25" s="128"/>
      <c r="I25" s="238"/>
    </row>
    <row r="26" spans="1:9" ht="15.75">
      <c r="A26" s="598"/>
      <c r="B26" s="624" t="s">
        <v>42</v>
      </c>
      <c r="C26" s="624"/>
      <c r="D26" s="158">
        <v>0.01</v>
      </c>
      <c r="E26" s="30">
        <f t="shared" si="0"/>
        <v>0</v>
      </c>
      <c r="F26" s="234"/>
      <c r="G26" s="128"/>
      <c r="H26" s="128"/>
      <c r="I26" s="238"/>
    </row>
    <row r="27" spans="1:9" ht="15.75">
      <c r="A27" s="598"/>
      <c r="B27" s="619" t="s">
        <v>43</v>
      </c>
      <c r="C27" s="619"/>
      <c r="D27" s="158">
        <v>1.2999999999999999E-2</v>
      </c>
      <c r="E27" s="30">
        <f t="shared" si="0"/>
        <v>0</v>
      </c>
      <c r="F27" s="234"/>
      <c r="G27" s="128"/>
      <c r="H27" s="128"/>
      <c r="I27" s="238"/>
    </row>
    <row r="28" spans="1:9" ht="15.75">
      <c r="A28" s="598"/>
      <c r="B28" s="619" t="s">
        <v>44</v>
      </c>
      <c r="C28" s="619"/>
      <c r="D28" s="158">
        <v>1.2E-2</v>
      </c>
      <c r="E28" s="30">
        <f t="shared" si="0"/>
        <v>0</v>
      </c>
      <c r="F28" s="234"/>
      <c r="G28" s="128"/>
      <c r="H28" s="128"/>
      <c r="I28" s="238"/>
    </row>
    <row r="29" spans="1:9" ht="15.75">
      <c r="A29" s="598"/>
      <c r="B29" s="619" t="s">
        <v>45</v>
      </c>
      <c r="C29" s="619"/>
      <c r="D29" s="158">
        <v>1.0999999999999999E-2</v>
      </c>
      <c r="E29" s="30">
        <f t="shared" si="0"/>
        <v>0</v>
      </c>
      <c r="F29" s="234"/>
      <c r="G29" s="128"/>
      <c r="H29" s="128"/>
      <c r="I29" s="238"/>
    </row>
    <row r="30" spans="1:9" ht="15.75">
      <c r="A30" s="598"/>
      <c r="B30" s="624" t="s">
        <v>46</v>
      </c>
      <c r="C30" s="624"/>
      <c r="D30" s="158">
        <v>0.01</v>
      </c>
      <c r="E30" s="30">
        <f t="shared" si="0"/>
        <v>0</v>
      </c>
      <c r="F30" s="234"/>
      <c r="G30" s="128"/>
      <c r="H30" s="128"/>
      <c r="I30" s="238"/>
    </row>
    <row r="31" spans="1:9" ht="42.75" customHeight="1">
      <c r="A31" s="598"/>
      <c r="B31" s="619" t="s">
        <v>454</v>
      </c>
      <c r="C31" s="619"/>
      <c r="D31" s="158">
        <v>0.01</v>
      </c>
      <c r="E31" s="30">
        <f t="shared" si="0"/>
        <v>0</v>
      </c>
      <c r="F31" s="234"/>
      <c r="G31" s="128"/>
      <c r="H31" s="128"/>
      <c r="I31" s="238"/>
    </row>
    <row r="32" spans="1:9" ht="42.75" customHeight="1">
      <c r="A32" s="598"/>
      <c r="B32" s="619" t="s">
        <v>453</v>
      </c>
      <c r="C32" s="619"/>
      <c r="D32" s="158">
        <v>0.01</v>
      </c>
      <c r="E32" s="30">
        <f t="shared" si="0"/>
        <v>0</v>
      </c>
      <c r="F32" s="234"/>
      <c r="G32" s="128"/>
      <c r="H32" s="128"/>
      <c r="I32" s="238"/>
    </row>
    <row r="33" spans="1:9" ht="15.75">
      <c r="A33" s="598"/>
      <c r="B33" s="619" t="s">
        <v>48</v>
      </c>
      <c r="C33" s="619"/>
      <c r="D33" s="158">
        <v>1.2E-2</v>
      </c>
      <c r="E33" s="30">
        <f t="shared" si="0"/>
        <v>0</v>
      </c>
      <c r="F33" s="234"/>
      <c r="G33" s="128"/>
      <c r="H33" s="128"/>
      <c r="I33" s="238"/>
    </row>
    <row r="34" spans="1:9" ht="31.5">
      <c r="A34" s="598"/>
      <c r="B34" s="75" t="s">
        <v>452</v>
      </c>
      <c r="C34" s="241" t="s">
        <v>51</v>
      </c>
      <c r="D34" s="158">
        <v>1.7000000000000001E-2</v>
      </c>
      <c r="E34" s="30">
        <f t="shared" si="0"/>
        <v>0</v>
      </c>
      <c r="F34" s="234"/>
      <c r="G34" s="128"/>
      <c r="H34" s="128"/>
      <c r="I34" s="238"/>
    </row>
    <row r="35" spans="1:9" ht="15.75">
      <c r="A35" s="598"/>
      <c r="B35" s="619" t="s">
        <v>52</v>
      </c>
      <c r="C35" s="619"/>
      <c r="D35" s="158">
        <v>1.5599999999999999E-2</v>
      </c>
      <c r="E35" s="30">
        <f t="shared" si="0"/>
        <v>0</v>
      </c>
      <c r="F35" s="234"/>
      <c r="G35" s="128"/>
      <c r="H35" s="128"/>
      <c r="I35" s="238"/>
    </row>
    <row r="36" spans="1:9" ht="15.75">
      <c r="A36" s="598"/>
      <c r="B36" s="619" t="s">
        <v>53</v>
      </c>
      <c r="C36" s="619"/>
      <c r="D36" s="158">
        <v>1.6E-2</v>
      </c>
      <c r="E36" s="30">
        <f t="shared" si="0"/>
        <v>0</v>
      </c>
      <c r="F36" s="234"/>
      <c r="G36" s="128"/>
      <c r="H36" s="128"/>
      <c r="I36" s="238"/>
    </row>
    <row r="37" spans="1:9" ht="15.75">
      <c r="A37" s="598" t="s">
        <v>54</v>
      </c>
      <c r="B37" s="598" t="s">
        <v>61</v>
      </c>
      <c r="C37" s="63" t="s">
        <v>451</v>
      </c>
      <c r="D37" s="158">
        <v>0.01</v>
      </c>
      <c r="E37" s="30">
        <f t="shared" si="0"/>
        <v>0</v>
      </c>
      <c r="F37" s="234"/>
      <c r="G37" s="128"/>
      <c r="H37" s="128"/>
      <c r="I37" s="238"/>
    </row>
    <row r="38" spans="1:9" ht="15">
      <c r="A38" s="598"/>
      <c r="B38" s="598"/>
      <c r="C38" s="64" t="s">
        <v>63</v>
      </c>
      <c r="D38" s="158">
        <v>0.01</v>
      </c>
      <c r="E38" s="30">
        <f t="shared" si="0"/>
        <v>0</v>
      </c>
      <c r="F38" s="234"/>
      <c r="G38" s="128"/>
      <c r="H38" s="128"/>
      <c r="I38" s="238"/>
    </row>
    <row r="39" spans="1:9" ht="15.75">
      <c r="A39" s="598"/>
      <c r="B39" s="598"/>
      <c r="C39" s="63" t="s">
        <v>64</v>
      </c>
      <c r="D39" s="158">
        <v>0.01</v>
      </c>
      <c r="E39" s="30">
        <f t="shared" si="0"/>
        <v>0</v>
      </c>
      <c r="F39" s="234"/>
      <c r="G39" s="128"/>
      <c r="H39" s="128"/>
      <c r="I39" s="238"/>
    </row>
    <row r="40" spans="1:9" ht="15.75">
      <c r="A40" s="598"/>
      <c r="B40" s="598" t="s">
        <v>65</v>
      </c>
      <c r="C40" s="63" t="s">
        <v>450</v>
      </c>
      <c r="D40" s="158">
        <v>0.01</v>
      </c>
      <c r="E40" s="30">
        <f t="shared" si="0"/>
        <v>0</v>
      </c>
      <c r="F40" s="239"/>
      <c r="G40" s="137"/>
      <c r="H40" s="128"/>
      <c r="I40" s="238"/>
    </row>
    <row r="41" spans="1:9" ht="63" customHeight="1">
      <c r="A41" s="598"/>
      <c r="B41" s="598"/>
      <c r="C41" s="63" t="s">
        <v>449</v>
      </c>
      <c r="D41" s="158">
        <v>1.0999999999999999E-2</v>
      </c>
      <c r="E41" s="30">
        <f t="shared" si="0"/>
        <v>0</v>
      </c>
      <c r="F41" s="239"/>
      <c r="G41" s="128"/>
      <c r="H41" s="128"/>
      <c r="I41" s="238"/>
    </row>
    <row r="42" spans="1:9" ht="15.75">
      <c r="A42" s="598"/>
      <c r="B42" s="598" t="s">
        <v>68</v>
      </c>
      <c r="C42" s="68" t="s">
        <v>69</v>
      </c>
      <c r="D42" s="158">
        <v>0.01</v>
      </c>
      <c r="E42" s="30">
        <f t="shared" si="0"/>
        <v>0</v>
      </c>
      <c r="F42" s="239"/>
      <c r="G42" s="137"/>
      <c r="H42" s="128"/>
      <c r="I42" s="238"/>
    </row>
    <row r="43" spans="1:9" ht="31.5">
      <c r="A43" s="598"/>
      <c r="B43" s="598"/>
      <c r="C43" s="68" t="s">
        <v>70</v>
      </c>
      <c r="D43" s="158">
        <v>1.2E-2</v>
      </c>
      <c r="E43" s="30">
        <f t="shared" si="0"/>
        <v>0</v>
      </c>
      <c r="F43" s="239"/>
      <c r="G43" s="128"/>
      <c r="H43" s="128"/>
      <c r="I43" s="163"/>
    </row>
    <row r="44" spans="1:9" ht="31.5">
      <c r="A44" s="598"/>
      <c r="B44" s="598"/>
      <c r="C44" s="68" t="s">
        <v>71</v>
      </c>
      <c r="D44" s="158">
        <v>0.02</v>
      </c>
      <c r="E44" s="30">
        <f t="shared" si="0"/>
        <v>0</v>
      </c>
      <c r="F44" s="239"/>
      <c r="G44" s="128"/>
      <c r="H44" s="128"/>
      <c r="I44" s="163"/>
    </row>
    <row r="45" spans="1:9" ht="31.5">
      <c r="A45" s="598"/>
      <c r="B45" s="598"/>
      <c r="C45" s="68" t="s">
        <v>72</v>
      </c>
      <c r="D45" s="158">
        <v>1.2999999999999999E-2</v>
      </c>
      <c r="E45" s="30">
        <f t="shared" si="0"/>
        <v>0</v>
      </c>
      <c r="F45" s="239"/>
      <c r="G45" s="128"/>
      <c r="H45" s="128"/>
      <c r="I45" s="163"/>
    </row>
    <row r="46" spans="1:9" ht="31.5">
      <c r="A46" s="598"/>
      <c r="B46" s="598" t="s">
        <v>73</v>
      </c>
      <c r="C46" s="63" t="s">
        <v>74</v>
      </c>
      <c r="D46" s="158">
        <v>1.6E-2</v>
      </c>
      <c r="E46" s="30">
        <f t="shared" si="0"/>
        <v>0</v>
      </c>
      <c r="F46" s="239"/>
      <c r="G46" s="137"/>
      <c r="H46" s="128"/>
      <c r="I46" s="163"/>
    </row>
    <row r="47" spans="1:9" ht="31.5">
      <c r="A47" s="598"/>
      <c r="B47" s="598"/>
      <c r="C47" s="240" t="s">
        <v>448</v>
      </c>
      <c r="D47" s="158">
        <v>1.6E-2</v>
      </c>
      <c r="E47" s="30">
        <f t="shared" si="0"/>
        <v>0</v>
      </c>
      <c r="F47" s="239"/>
      <c r="G47" s="128"/>
      <c r="H47" s="128"/>
      <c r="I47" s="238"/>
    </row>
    <row r="48" spans="1:9" ht="15.75">
      <c r="A48" s="598"/>
      <c r="B48" s="598"/>
      <c r="C48" s="63" t="s">
        <v>447</v>
      </c>
      <c r="D48" s="158">
        <v>1.6E-2</v>
      </c>
      <c r="E48" s="30">
        <f t="shared" ref="E48:E79" si="1">IF(COUNTA(F48:H48)&gt;1, "PORFAVOR MARQUE UNA SOLA OPCION", IF(OR(F48&lt;&gt;"", H48&lt;&gt;""), D48, IF(G48&lt;&gt;"", 0, 0)))</f>
        <v>0</v>
      </c>
      <c r="F48" s="239"/>
      <c r="G48" s="128"/>
      <c r="H48" s="128"/>
      <c r="I48" s="238"/>
    </row>
    <row r="49" spans="1:9" ht="15.75">
      <c r="A49" s="598"/>
      <c r="B49" s="598"/>
      <c r="C49" s="63" t="s">
        <v>77</v>
      </c>
      <c r="D49" s="158">
        <v>1.4999999999999999E-2</v>
      </c>
      <c r="E49" s="30">
        <f t="shared" si="1"/>
        <v>0</v>
      </c>
      <c r="F49" s="239"/>
      <c r="G49" s="128"/>
      <c r="H49" s="128"/>
      <c r="I49" s="52"/>
    </row>
    <row r="50" spans="1:9" ht="15.75">
      <c r="A50" s="598"/>
      <c r="B50" s="598"/>
      <c r="C50" s="68" t="s">
        <v>78</v>
      </c>
      <c r="D50" s="158">
        <v>1.7999999999999999E-2</v>
      </c>
      <c r="E50" s="30">
        <f t="shared" si="1"/>
        <v>0</v>
      </c>
      <c r="F50" s="239"/>
      <c r="G50" s="12"/>
      <c r="H50" s="12"/>
      <c r="I50" s="52"/>
    </row>
    <row r="51" spans="1:9" ht="31.5">
      <c r="A51" s="598"/>
      <c r="B51" s="598"/>
      <c r="C51" s="63" t="s">
        <v>79</v>
      </c>
      <c r="D51" s="158">
        <v>1.6E-2</v>
      </c>
      <c r="E51" s="30">
        <f t="shared" si="1"/>
        <v>0</v>
      </c>
      <c r="F51" s="239"/>
      <c r="G51" s="12"/>
      <c r="H51" s="12"/>
      <c r="I51" s="52"/>
    </row>
    <row r="52" spans="1:9" ht="15.75">
      <c r="A52" s="598"/>
      <c r="B52" s="598"/>
      <c r="C52" s="63" t="s">
        <v>80</v>
      </c>
      <c r="D52" s="158">
        <v>1.9E-2</v>
      </c>
      <c r="E52" s="30">
        <f t="shared" si="1"/>
        <v>0</v>
      </c>
      <c r="F52" s="239"/>
      <c r="G52" s="12"/>
      <c r="H52" s="12"/>
      <c r="I52" s="52"/>
    </row>
    <row r="53" spans="1:9" ht="15.75">
      <c r="A53" s="598"/>
      <c r="B53" s="598" t="s">
        <v>81</v>
      </c>
      <c r="C53" s="63" t="s">
        <v>446</v>
      </c>
      <c r="D53" s="158">
        <v>1.6E-2</v>
      </c>
      <c r="E53" s="30">
        <f t="shared" si="1"/>
        <v>0</v>
      </c>
      <c r="F53" s="123"/>
      <c r="G53" s="119"/>
      <c r="H53" s="12"/>
      <c r="I53" s="52"/>
    </row>
    <row r="54" spans="1:9" ht="15.75">
      <c r="A54" s="598"/>
      <c r="B54" s="598"/>
      <c r="C54" s="63" t="s">
        <v>445</v>
      </c>
      <c r="D54" s="158">
        <v>0.01</v>
      </c>
      <c r="E54" s="30">
        <f t="shared" si="1"/>
        <v>0</v>
      </c>
      <c r="F54" s="123"/>
      <c r="G54" s="12"/>
      <c r="H54" s="12"/>
      <c r="I54" s="52"/>
    </row>
    <row r="55" spans="1:9" ht="31.5">
      <c r="A55" s="598"/>
      <c r="B55" s="598"/>
      <c r="C55" s="63" t="s">
        <v>444</v>
      </c>
      <c r="D55" s="158">
        <v>0.01</v>
      </c>
      <c r="E55" s="30">
        <f t="shared" si="1"/>
        <v>0</v>
      </c>
      <c r="F55" s="123"/>
      <c r="G55" s="129"/>
      <c r="H55" s="129"/>
      <c r="I55" s="238"/>
    </row>
    <row r="56" spans="1:9" ht="15.75">
      <c r="A56" s="598"/>
      <c r="B56" s="598" t="s">
        <v>85</v>
      </c>
      <c r="C56" s="63" t="s">
        <v>161</v>
      </c>
      <c r="D56" s="158">
        <v>1.2E-2</v>
      </c>
      <c r="E56" s="30">
        <f t="shared" si="1"/>
        <v>0</v>
      </c>
      <c r="F56" s="123"/>
      <c r="G56" s="129"/>
      <c r="H56" s="129"/>
      <c r="I56" s="238"/>
    </row>
    <row r="57" spans="1:9" ht="15.75">
      <c r="A57" s="598"/>
      <c r="B57" s="598"/>
      <c r="C57" s="63" t="s">
        <v>87</v>
      </c>
      <c r="D57" s="158">
        <v>1.9E-2</v>
      </c>
      <c r="E57" s="30">
        <f t="shared" si="1"/>
        <v>0</v>
      </c>
      <c r="F57" s="123"/>
      <c r="G57" s="12"/>
      <c r="H57" s="119"/>
      <c r="I57" s="52"/>
    </row>
    <row r="58" spans="1:9" ht="15">
      <c r="A58" s="598"/>
      <c r="B58" s="598" t="s">
        <v>443</v>
      </c>
      <c r="C58" s="64" t="s">
        <v>442</v>
      </c>
      <c r="D58" s="158">
        <v>1.3299999999999999E-2</v>
      </c>
      <c r="E58" s="30">
        <f t="shared" si="1"/>
        <v>0</v>
      </c>
      <c r="F58" s="123"/>
      <c r="G58" s="119"/>
      <c r="H58" s="12"/>
      <c r="I58" s="52"/>
    </row>
    <row r="59" spans="1:9" ht="25.5">
      <c r="A59" s="598"/>
      <c r="B59" s="598"/>
      <c r="C59" s="64" t="s">
        <v>57</v>
      </c>
      <c r="D59" s="158">
        <v>0.01</v>
      </c>
      <c r="E59" s="30">
        <f t="shared" si="1"/>
        <v>0</v>
      </c>
      <c r="F59" s="123"/>
      <c r="G59" s="12"/>
      <c r="H59" s="12"/>
      <c r="I59" s="52"/>
    </row>
    <row r="60" spans="1:9" ht="15">
      <c r="A60" s="598"/>
      <c r="B60" s="598"/>
      <c r="C60" s="64" t="s">
        <v>441</v>
      </c>
      <c r="D60" s="158">
        <v>0.01</v>
      </c>
      <c r="E60" s="30">
        <f t="shared" si="1"/>
        <v>0</v>
      </c>
      <c r="F60" s="123"/>
      <c r="G60" s="12"/>
      <c r="H60" s="12"/>
      <c r="I60" s="52"/>
    </row>
    <row r="61" spans="1:9" ht="15">
      <c r="A61" s="598"/>
      <c r="B61" s="598"/>
      <c r="C61" s="237" t="s">
        <v>59</v>
      </c>
      <c r="D61" s="158">
        <v>1.0999999999999999E-2</v>
      </c>
      <c r="E61" s="30">
        <f t="shared" si="1"/>
        <v>0</v>
      </c>
      <c r="F61" s="123"/>
      <c r="G61" s="12"/>
      <c r="H61" s="12"/>
      <c r="I61" s="52"/>
    </row>
    <row r="62" spans="1:9" ht="15">
      <c r="A62" s="598"/>
      <c r="B62" s="598"/>
      <c r="C62" s="237" t="s">
        <v>60</v>
      </c>
      <c r="D62" s="158">
        <v>0.01</v>
      </c>
      <c r="E62" s="30">
        <f t="shared" si="1"/>
        <v>0</v>
      </c>
      <c r="F62" s="123"/>
      <c r="G62" s="12"/>
      <c r="H62" s="12"/>
      <c r="I62" s="52"/>
    </row>
    <row r="63" spans="1:9" ht="38.25">
      <c r="A63" s="598"/>
      <c r="B63" s="623" t="s">
        <v>88</v>
      </c>
      <c r="C63" s="64" t="s">
        <v>440</v>
      </c>
      <c r="D63" s="158">
        <v>0.01</v>
      </c>
      <c r="E63" s="30">
        <f t="shared" si="1"/>
        <v>0</v>
      </c>
      <c r="F63" s="123"/>
      <c r="G63" s="12"/>
      <c r="H63" s="119"/>
      <c r="I63" s="52"/>
    </row>
    <row r="64" spans="1:9" ht="37.5" customHeight="1">
      <c r="A64" s="598"/>
      <c r="B64" s="623"/>
      <c r="C64" s="64" t="s">
        <v>90</v>
      </c>
      <c r="D64" s="158">
        <v>0.01</v>
      </c>
      <c r="E64" s="30">
        <f t="shared" si="1"/>
        <v>0</v>
      </c>
      <c r="F64" s="123"/>
      <c r="G64" s="12"/>
      <c r="H64" s="12"/>
      <c r="I64" s="52"/>
    </row>
    <row r="65" spans="1:9" ht="31.5">
      <c r="A65" s="598"/>
      <c r="B65" s="74" t="s">
        <v>91</v>
      </c>
      <c r="C65" s="64" t="s">
        <v>92</v>
      </c>
      <c r="D65" s="158">
        <v>1.2E-2</v>
      </c>
      <c r="E65" s="30">
        <f t="shared" si="1"/>
        <v>0</v>
      </c>
      <c r="F65" s="123"/>
      <c r="G65" s="119"/>
      <c r="H65" s="12"/>
      <c r="I65" s="52"/>
    </row>
    <row r="66" spans="1:9" ht="25.5">
      <c r="A66" s="598"/>
      <c r="B66" s="74" t="s">
        <v>93</v>
      </c>
      <c r="C66" s="64" t="s">
        <v>94</v>
      </c>
      <c r="D66" s="158">
        <v>0.01</v>
      </c>
      <c r="E66" s="30">
        <f t="shared" si="1"/>
        <v>0</v>
      </c>
      <c r="F66" s="123"/>
      <c r="G66" s="119"/>
      <c r="H66" s="12"/>
      <c r="I66" s="52"/>
    </row>
    <row r="67" spans="1:9" ht="15.75">
      <c r="A67" s="598"/>
      <c r="B67" s="75" t="s">
        <v>95</v>
      </c>
      <c r="C67" s="88" t="s">
        <v>96</v>
      </c>
      <c r="D67" s="158">
        <v>0.01</v>
      </c>
      <c r="E67" s="30">
        <f t="shared" si="1"/>
        <v>0</v>
      </c>
      <c r="F67" s="123"/>
      <c r="G67" s="119"/>
      <c r="H67" s="12"/>
      <c r="I67" s="52"/>
    </row>
    <row r="68" spans="1:9" ht="15.75">
      <c r="A68" s="598" t="s">
        <v>97</v>
      </c>
      <c r="B68" s="619" t="s">
        <v>98</v>
      </c>
      <c r="C68" s="619"/>
      <c r="D68" s="158">
        <v>0.01</v>
      </c>
      <c r="E68" s="30">
        <f t="shared" si="1"/>
        <v>0</v>
      </c>
      <c r="F68" s="123"/>
      <c r="G68" s="119"/>
      <c r="H68" s="12"/>
      <c r="I68" s="52"/>
    </row>
    <row r="69" spans="1:9" ht="54" customHeight="1">
      <c r="A69" s="598"/>
      <c r="B69" s="619" t="s">
        <v>439</v>
      </c>
      <c r="C69" s="619"/>
      <c r="D69" s="158">
        <v>1.0999999999999999E-2</v>
      </c>
      <c r="E69" s="30">
        <f t="shared" si="1"/>
        <v>0</v>
      </c>
      <c r="F69" s="234"/>
      <c r="G69" s="12"/>
      <c r="H69" s="12"/>
      <c r="I69" s="52"/>
    </row>
    <row r="70" spans="1:9" ht="15.75">
      <c r="A70" s="598" t="s">
        <v>100</v>
      </c>
      <c r="B70" s="599" t="s">
        <v>101</v>
      </c>
      <c r="C70" s="599"/>
      <c r="D70" s="158">
        <v>0.01</v>
      </c>
      <c r="E70" s="30">
        <f t="shared" si="1"/>
        <v>0</v>
      </c>
      <c r="F70" s="234"/>
      <c r="G70" s="12"/>
      <c r="H70" s="12"/>
      <c r="I70" s="52"/>
    </row>
    <row r="71" spans="1:9" ht="15.75">
      <c r="A71" s="598"/>
      <c r="B71" s="599" t="s">
        <v>102</v>
      </c>
      <c r="C71" s="599"/>
      <c r="D71" s="158">
        <v>0.01</v>
      </c>
      <c r="E71" s="30">
        <f t="shared" si="1"/>
        <v>0</v>
      </c>
      <c r="F71" s="234"/>
      <c r="G71" s="12"/>
      <c r="H71" s="12"/>
      <c r="I71" s="52"/>
    </row>
    <row r="72" spans="1:9" ht="30" customHeight="1">
      <c r="A72" s="598"/>
      <c r="B72" s="236" t="s">
        <v>438</v>
      </c>
      <c r="C72" s="63"/>
      <c r="D72" s="158">
        <v>1.4E-2</v>
      </c>
      <c r="E72" s="30">
        <f t="shared" si="1"/>
        <v>0</v>
      </c>
      <c r="F72" s="234"/>
      <c r="G72" s="12"/>
      <c r="H72" s="12"/>
      <c r="I72" s="52"/>
    </row>
    <row r="73" spans="1:9" ht="36" customHeight="1">
      <c r="A73" s="598"/>
      <c r="B73" s="599" t="s">
        <v>437</v>
      </c>
      <c r="C73" s="599"/>
      <c r="D73" s="158">
        <v>1.3299999999999999E-2</v>
      </c>
      <c r="E73" s="30">
        <f t="shared" si="1"/>
        <v>0</v>
      </c>
      <c r="F73" s="234"/>
      <c r="G73" s="12"/>
      <c r="H73" s="12"/>
      <c r="I73" s="52"/>
    </row>
    <row r="74" spans="1:9" ht="15.75">
      <c r="A74" s="598"/>
      <c r="B74" s="599" t="s">
        <v>105</v>
      </c>
      <c r="C74" s="599"/>
      <c r="D74" s="158">
        <v>1.7999999999999999E-2</v>
      </c>
      <c r="E74" s="30">
        <f t="shared" si="1"/>
        <v>0</v>
      </c>
      <c r="F74" s="235"/>
      <c r="G74" s="12"/>
      <c r="H74" s="12"/>
      <c r="I74" s="52"/>
    </row>
    <row r="75" spans="1:9" ht="15.75">
      <c r="A75" s="598"/>
      <c r="B75" s="599" t="s">
        <v>106</v>
      </c>
      <c r="C75" s="599"/>
      <c r="D75" s="158">
        <v>1.2E-2</v>
      </c>
      <c r="E75" s="30">
        <f t="shared" si="1"/>
        <v>0</v>
      </c>
      <c r="F75" s="234"/>
      <c r="G75" s="12"/>
      <c r="H75" s="12"/>
      <c r="I75" s="52"/>
    </row>
    <row r="76" spans="1:9" ht="22.5" customHeight="1">
      <c r="A76" s="598"/>
      <c r="B76" s="599" t="s">
        <v>436</v>
      </c>
      <c r="C76" s="599"/>
      <c r="D76" s="158">
        <v>1.4999999999999999E-2</v>
      </c>
      <c r="E76" s="30">
        <f t="shared" si="1"/>
        <v>0</v>
      </c>
      <c r="F76" s="234"/>
      <c r="G76" s="12"/>
      <c r="H76" s="12"/>
      <c r="I76" s="52"/>
    </row>
    <row r="77" spans="1:9" ht="39.75" customHeight="1">
      <c r="A77" s="598"/>
      <c r="B77" s="619" t="s">
        <v>118</v>
      </c>
      <c r="C77" s="619"/>
      <c r="D77" s="158">
        <v>1.7000000000000001E-2</v>
      </c>
      <c r="E77" s="30">
        <f t="shared" si="1"/>
        <v>0</v>
      </c>
      <c r="F77" s="234"/>
      <c r="G77" s="12"/>
      <c r="H77" s="12"/>
      <c r="I77" s="52"/>
    </row>
    <row r="78" spans="1:9" ht="15.75">
      <c r="A78" s="598"/>
      <c r="B78" s="599" t="s">
        <v>119</v>
      </c>
      <c r="C78" s="599"/>
      <c r="D78" s="158">
        <v>1.9300000000000001E-2</v>
      </c>
      <c r="E78" s="30">
        <f t="shared" si="1"/>
        <v>0</v>
      </c>
      <c r="F78" s="234"/>
      <c r="G78" s="12"/>
      <c r="H78" s="12"/>
      <c r="I78" s="52"/>
    </row>
    <row r="79" spans="1:9" ht="15.75">
      <c r="A79" s="598"/>
      <c r="B79" s="599" t="s">
        <v>120</v>
      </c>
      <c r="C79" s="599"/>
      <c r="D79" s="158">
        <v>0.01</v>
      </c>
      <c r="E79" s="30">
        <f t="shared" si="1"/>
        <v>0</v>
      </c>
      <c r="F79" s="234"/>
      <c r="G79" s="12"/>
      <c r="H79" s="12"/>
      <c r="I79" s="52"/>
    </row>
    <row r="80" spans="1:9" ht="15.75">
      <c r="A80" s="598"/>
      <c r="B80" s="599" t="s">
        <v>121</v>
      </c>
      <c r="C80" s="599"/>
      <c r="D80" s="158">
        <v>0.01</v>
      </c>
      <c r="E80" s="30">
        <f t="shared" ref="E80:E111" si="2">IF(COUNTA(F80:H80)&gt;1, "PORFAVOR MARQUE UNA SOLA OPCION", IF(OR(F80&lt;&gt;"", H80&lt;&gt;""), D80, IF(G80&lt;&gt;"", 0, 0)))</f>
        <v>0</v>
      </c>
      <c r="F80" s="233"/>
      <c r="G80" s="12"/>
      <c r="H80" s="12"/>
      <c r="I80" s="52"/>
    </row>
    <row r="81" spans="1:9" ht="15">
      <c r="A81" s="598" t="s">
        <v>122</v>
      </c>
      <c r="B81" s="596" t="s">
        <v>123</v>
      </c>
      <c r="C81" s="596"/>
      <c r="D81" s="158">
        <v>0.01</v>
      </c>
      <c r="E81" s="30">
        <f t="shared" si="2"/>
        <v>0</v>
      </c>
      <c r="F81" s="122"/>
      <c r="G81" s="12"/>
      <c r="H81" s="12"/>
      <c r="I81" s="79"/>
    </row>
    <row r="82" spans="1:9" ht="15">
      <c r="A82" s="598"/>
      <c r="B82" s="596" t="s">
        <v>124</v>
      </c>
      <c r="C82" s="596"/>
      <c r="D82" s="158">
        <v>1.2E-2</v>
      </c>
      <c r="E82" s="30">
        <f t="shared" si="2"/>
        <v>0</v>
      </c>
      <c r="F82" s="122"/>
      <c r="G82" s="12"/>
      <c r="H82" s="12"/>
      <c r="I82" s="79"/>
    </row>
    <row r="83" spans="1:9" ht="15">
      <c r="A83" s="598"/>
      <c r="B83" s="596" t="s">
        <v>369</v>
      </c>
      <c r="C83" s="596"/>
      <c r="D83" s="158">
        <v>1.77E-2</v>
      </c>
      <c r="E83" s="30">
        <f t="shared" si="2"/>
        <v>0</v>
      </c>
      <c r="F83" s="122"/>
      <c r="G83" s="12"/>
      <c r="H83" s="12"/>
      <c r="I83" s="79"/>
    </row>
    <row r="84" spans="1:9" ht="15">
      <c r="A84" s="598"/>
      <c r="B84" s="618" t="s">
        <v>126</v>
      </c>
      <c r="C84" s="618"/>
      <c r="D84" s="158">
        <v>1.7000000000000001E-2</v>
      </c>
      <c r="E84" s="30">
        <f t="shared" si="2"/>
        <v>0</v>
      </c>
      <c r="F84" s="122"/>
      <c r="G84" s="12"/>
      <c r="H84" s="12"/>
      <c r="I84" s="79"/>
    </row>
    <row r="85" spans="1:9" ht="15">
      <c r="A85" s="598"/>
      <c r="B85" s="596" t="s">
        <v>127</v>
      </c>
      <c r="C85" s="596"/>
      <c r="D85" s="158">
        <v>1.3299999999999999E-2</v>
      </c>
      <c r="E85" s="30">
        <f t="shared" si="2"/>
        <v>0</v>
      </c>
      <c r="F85" s="122"/>
      <c r="G85" s="12"/>
      <c r="H85" s="12"/>
      <c r="I85" s="79"/>
    </row>
    <row r="86" spans="1:9" ht="15">
      <c r="A86" s="598"/>
      <c r="B86" s="618" t="s">
        <v>128</v>
      </c>
      <c r="C86" s="618"/>
      <c r="D86" s="158">
        <v>1.66E-2</v>
      </c>
      <c r="E86" s="30">
        <f t="shared" si="2"/>
        <v>0</v>
      </c>
      <c r="F86" s="122"/>
      <c r="G86" s="12"/>
      <c r="H86" s="12"/>
      <c r="I86" s="79"/>
    </row>
    <row r="87" spans="1:9" ht="15">
      <c r="A87" s="598"/>
      <c r="B87" s="618" t="s">
        <v>129</v>
      </c>
      <c r="C87" s="618"/>
      <c r="D87" s="158">
        <v>1.66E-2</v>
      </c>
      <c r="E87" s="30">
        <f t="shared" si="2"/>
        <v>0</v>
      </c>
      <c r="F87" s="122"/>
      <c r="G87" s="12"/>
      <c r="H87" s="12"/>
      <c r="I87" s="79"/>
    </row>
    <row r="88" spans="1:9" ht="15">
      <c r="A88" s="598"/>
      <c r="B88" s="596" t="s">
        <v>130</v>
      </c>
      <c r="C88" s="596"/>
      <c r="D88" s="158">
        <v>1.66E-2</v>
      </c>
      <c r="E88" s="30">
        <f t="shared" si="2"/>
        <v>0</v>
      </c>
      <c r="F88" s="122"/>
      <c r="G88" s="12"/>
      <c r="H88" s="12"/>
      <c r="I88" s="79"/>
    </row>
    <row r="89" spans="1:9" ht="15">
      <c r="A89" s="598"/>
      <c r="B89" s="596" t="s">
        <v>131</v>
      </c>
      <c r="C89" s="596"/>
      <c r="D89" s="158">
        <v>1.66E-2</v>
      </c>
      <c r="E89" s="30">
        <f t="shared" si="2"/>
        <v>0</v>
      </c>
      <c r="F89" s="122"/>
      <c r="G89" s="12"/>
      <c r="H89" s="12"/>
      <c r="I89" s="79"/>
    </row>
    <row r="90" spans="1:9" ht="15">
      <c r="A90" s="598"/>
      <c r="B90" s="596" t="s">
        <v>132</v>
      </c>
      <c r="C90" s="596"/>
      <c r="D90" s="158">
        <v>1.66E-2</v>
      </c>
      <c r="E90" s="30">
        <f t="shared" si="2"/>
        <v>0</v>
      </c>
      <c r="F90" s="122"/>
      <c r="G90" s="12"/>
      <c r="H90" s="12"/>
      <c r="I90" s="79"/>
    </row>
    <row r="91" spans="1:9" ht="15">
      <c r="A91" s="598"/>
      <c r="B91" s="618" t="s">
        <v>133</v>
      </c>
      <c r="C91" s="618"/>
      <c r="D91" s="158">
        <v>1.6500000000000001E-2</v>
      </c>
      <c r="E91" s="30">
        <f t="shared" si="2"/>
        <v>0</v>
      </c>
      <c r="F91" s="122"/>
      <c r="G91" s="12"/>
      <c r="H91" s="12"/>
      <c r="I91" s="79"/>
    </row>
    <row r="92" spans="1:9" ht="15.75" thickBot="1">
      <c r="A92" s="620" t="s">
        <v>435</v>
      </c>
      <c r="B92" s="620"/>
      <c r="C92" s="620"/>
      <c r="D92" s="232">
        <f>SUM(D16:D91)</f>
        <v>1.0000000000000002</v>
      </c>
      <c r="E92" s="331"/>
      <c r="F92" s="111">
        <f>COUNT(F16:F91)</f>
        <v>0</v>
      </c>
      <c r="G92" s="22">
        <f>COUNT(G16:G91)</f>
        <v>0</v>
      </c>
      <c r="H92" s="22">
        <f>COUNT(H16:H91)</f>
        <v>0</v>
      </c>
      <c r="I92" s="193"/>
    </row>
    <row r="93" spans="1:9" ht="15">
      <c r="A93" s="620"/>
      <c r="B93" s="620"/>
      <c r="C93" s="620"/>
      <c r="D93" s="231"/>
      <c r="E93" s="332"/>
      <c r="F93" s="608">
        <f>IFERROR((F92/((F92+G92+H92)-H92)),0)</f>
        <v>0</v>
      </c>
      <c r="G93" s="608"/>
      <c r="H93" s="609"/>
    </row>
    <row r="94" spans="1:9">
      <c r="F94" s="25"/>
      <c r="G94" s="25"/>
      <c r="H94" s="26"/>
    </row>
    <row r="95" spans="1:9" ht="15.75">
      <c r="A95" s="15" t="s">
        <v>20</v>
      </c>
      <c r="B95" s="16" t="s">
        <v>15</v>
      </c>
      <c r="C95" s="24"/>
      <c r="D95" s="16"/>
      <c r="E95" s="333"/>
      <c r="F95" s="32"/>
      <c r="G95" s="32"/>
      <c r="H95" s="32"/>
    </row>
    <row r="96" spans="1:9" ht="15.75">
      <c r="A96" s="17" t="s">
        <v>21</v>
      </c>
      <c r="B96" s="16" t="s">
        <v>22</v>
      </c>
      <c r="C96" s="32"/>
      <c r="D96" s="32"/>
      <c r="E96" s="333"/>
      <c r="F96" s="16"/>
      <c r="G96" s="16"/>
      <c r="H96" s="16"/>
    </row>
    <row r="97" spans="1:8" ht="15.75">
      <c r="A97" s="18" t="s">
        <v>23</v>
      </c>
      <c r="B97" s="16" t="s">
        <v>16</v>
      </c>
      <c r="C97" s="16"/>
      <c r="D97" s="16"/>
      <c r="E97" s="334"/>
      <c r="F97" s="16"/>
      <c r="G97" s="16"/>
      <c r="H97" s="16"/>
    </row>
    <row r="98" spans="1:8" ht="15.75">
      <c r="A98" s="19" t="s">
        <v>17</v>
      </c>
      <c r="B98" s="16" t="s">
        <v>18</v>
      </c>
      <c r="C98" s="16"/>
      <c r="D98" s="230"/>
      <c r="E98" s="335"/>
    </row>
  </sheetData>
  <mergeCells count="70">
    <mergeCell ref="B32:C32"/>
    <mergeCell ref="I14:I15"/>
    <mergeCell ref="A11:C11"/>
    <mergeCell ref="F11:I11"/>
    <mergeCell ref="F12:I12"/>
    <mergeCell ref="A17:A21"/>
    <mergeCell ref="B17:C17"/>
    <mergeCell ref="B18:C18"/>
    <mergeCell ref="B19:C19"/>
    <mergeCell ref="E12:E15"/>
    <mergeCell ref="B22:C22"/>
    <mergeCell ref="B23:C23"/>
    <mergeCell ref="B25:C25"/>
    <mergeCell ref="B26:C26"/>
    <mergeCell ref="B24:C24"/>
    <mergeCell ref="B20:C20"/>
    <mergeCell ref="B21:C21"/>
    <mergeCell ref="B29:C29"/>
    <mergeCell ref="B28:C28"/>
    <mergeCell ref="D12:D15"/>
    <mergeCell ref="A68:A69"/>
    <mergeCell ref="B68:C68"/>
    <mergeCell ref="B69:C69"/>
    <mergeCell ref="A70:A80"/>
    <mergeCell ref="B70:C70"/>
    <mergeCell ref="B71:C71"/>
    <mergeCell ref="B73:C73"/>
    <mergeCell ref="B74:C74"/>
    <mergeCell ref="B78:C78"/>
    <mergeCell ref="F93:H93"/>
    <mergeCell ref="C1:G1"/>
    <mergeCell ref="B3:G4"/>
    <mergeCell ref="C7:G7"/>
    <mergeCell ref="B33:C33"/>
    <mergeCell ref="B35:C35"/>
    <mergeCell ref="B16:C16"/>
    <mergeCell ref="A13:C15"/>
    <mergeCell ref="F14:H14"/>
    <mergeCell ref="A22:A36"/>
    <mergeCell ref="B79:C79"/>
    <mergeCell ref="B80:C80"/>
    <mergeCell ref="B75:C75"/>
    <mergeCell ref="B76:C76"/>
    <mergeCell ref="B77:C77"/>
    <mergeCell ref="A37:A67"/>
    <mergeCell ref="A92:C93"/>
    <mergeCell ref="A81:A91"/>
    <mergeCell ref="B81:C81"/>
    <mergeCell ref="B82:C82"/>
    <mergeCell ref="B83:C83"/>
    <mergeCell ref="B84:C84"/>
    <mergeCell ref="B85:C85"/>
    <mergeCell ref="B86:C86"/>
    <mergeCell ref="B87:C87"/>
    <mergeCell ref="B88:C88"/>
    <mergeCell ref="B89:C89"/>
    <mergeCell ref="B90:C90"/>
    <mergeCell ref="B91:C91"/>
    <mergeCell ref="B27:C27"/>
    <mergeCell ref="B58:B62"/>
    <mergeCell ref="B63:B64"/>
    <mergeCell ref="B42:B45"/>
    <mergeCell ref="B46:B52"/>
    <mergeCell ref="B30:C30"/>
    <mergeCell ref="B31:C31"/>
    <mergeCell ref="B36:C36"/>
    <mergeCell ref="B37:B39"/>
    <mergeCell ref="B40:B41"/>
    <mergeCell ref="B53:B55"/>
    <mergeCell ref="B56:B57"/>
  </mergeCells>
  <conditionalFormatting sqref="F93:H93">
    <cfRule type="colorScale" priority="12">
      <colorScale>
        <cfvo type="num" val="0.5"/>
        <cfvo type="num" val="0.7"/>
        <cfvo type="num" val="1"/>
        <color rgb="FFFF0000"/>
        <color rgb="FFFFEB84"/>
        <color theme="9" tint="-0.249977111117893"/>
      </colorScale>
    </cfRule>
  </conditionalFormatting>
  <conditionalFormatting sqref="E16:E91">
    <cfRule type="cellIs" dxfId="17" priority="1" operator="equal">
      <formula>0</formula>
    </cfRule>
    <cfRule type="containsText" dxfId="16" priority="2" operator="containsText" text="PORFAVOR MARQUE UNA SOLA OPCION">
      <formula>NOT(ISERROR(SEARCH("PORFAVOR MARQUE UNA SOLA OPCION",E16)))</formula>
    </cfRule>
    <cfRule type="cellIs" dxfId="15" priority="3" operator="greaterThan">
      <formula>0</formula>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15FC-28A1-46CE-91FF-33302C82728A}">
  <dimension ref="A1:I107"/>
  <sheetViews>
    <sheetView topLeftCell="D85" zoomScale="114" zoomScaleNormal="55" workbookViewId="0">
      <selection activeCell="F102" sqref="F102:H102"/>
    </sheetView>
  </sheetViews>
  <sheetFormatPr baseColWidth="10" defaultRowHeight="14.25"/>
  <cols>
    <col min="1" max="1" width="40" customWidth="1"/>
    <col min="2" max="2" width="44.5" customWidth="1"/>
    <col min="3" max="3" width="62.5" customWidth="1"/>
    <col min="4" max="5" width="25.875" customWidth="1"/>
    <col min="6" max="6" width="21.125" customWidth="1"/>
    <col min="7" max="7" width="33.5" customWidth="1"/>
    <col min="8" max="8" width="30.125" customWidth="1"/>
    <col min="9" max="9" width="23.5" customWidth="1"/>
  </cols>
  <sheetData>
    <row r="1" spans="1:9" s="34" customFormat="1">
      <c r="A1" s="33"/>
      <c r="B1"/>
      <c r="C1" s="621"/>
      <c r="D1" s="621"/>
      <c r="E1" s="621"/>
      <c r="F1" s="621"/>
      <c r="G1" s="621"/>
    </row>
    <row r="2" spans="1:9" s="34" customFormat="1">
      <c r="A2" s="33"/>
      <c r="B2"/>
      <c r="C2" s="35"/>
      <c r="D2" s="35"/>
      <c r="E2" s="35"/>
      <c r="F2" s="35"/>
      <c r="G2" s="35"/>
    </row>
    <row r="3" spans="1:9" s="34" customFormat="1">
      <c r="A3" s="33"/>
      <c r="B3" s="568" t="s">
        <v>26</v>
      </c>
      <c r="C3" s="568"/>
      <c r="D3" s="568"/>
      <c r="E3" s="568"/>
      <c r="F3" s="568"/>
      <c r="G3" s="568"/>
    </row>
    <row r="4" spans="1:9" s="34" customFormat="1">
      <c r="A4" s="33"/>
      <c r="B4" s="568"/>
      <c r="C4" s="568"/>
      <c r="D4" s="568"/>
      <c r="E4" s="568"/>
      <c r="F4" s="568"/>
      <c r="G4" s="568"/>
    </row>
    <row r="5" spans="1:9">
      <c r="A5" s="1"/>
      <c r="C5" s="1"/>
      <c r="D5" s="1"/>
      <c r="E5" s="1"/>
    </row>
    <row r="6" spans="1:9">
      <c r="A6" s="1"/>
      <c r="C6" s="1"/>
      <c r="D6" s="1"/>
      <c r="E6" s="1"/>
    </row>
    <row r="7" spans="1:9" ht="30.75" customHeight="1">
      <c r="A7" s="2" t="s">
        <v>1</v>
      </c>
      <c r="B7" s="36"/>
      <c r="C7" s="569" t="s">
        <v>2</v>
      </c>
      <c r="D7" s="570"/>
      <c r="E7" s="570"/>
      <c r="F7" s="570"/>
      <c r="G7" s="571"/>
    </row>
    <row r="8" spans="1:9" ht="30.75" customHeight="1">
      <c r="A8" s="2" t="s">
        <v>3</v>
      </c>
      <c r="B8" s="37"/>
      <c r="C8" s="5" t="s">
        <v>4</v>
      </c>
      <c r="D8" s="5"/>
      <c r="E8" s="5"/>
      <c r="F8" s="5" t="s">
        <v>5</v>
      </c>
      <c r="G8" s="5" t="s">
        <v>6</v>
      </c>
    </row>
    <row r="9" spans="1:9" ht="30.75" customHeight="1">
      <c r="A9" s="2" t="s">
        <v>7</v>
      </c>
      <c r="B9" s="36"/>
      <c r="C9" s="6">
        <v>1</v>
      </c>
      <c r="D9" s="6"/>
      <c r="E9" s="6"/>
      <c r="F9" s="7">
        <v>0</v>
      </c>
      <c r="G9" s="5">
        <v>1</v>
      </c>
    </row>
    <row r="12" spans="1:9" ht="15.75">
      <c r="A12" s="555" t="s">
        <v>27</v>
      </c>
      <c r="B12" s="555"/>
      <c r="C12" s="555"/>
      <c r="D12" s="38"/>
      <c r="E12" s="38"/>
      <c r="F12" s="727" t="s">
        <v>28</v>
      </c>
      <c r="G12" s="719"/>
      <c r="H12" s="719"/>
      <c r="I12" s="720"/>
    </row>
    <row r="13" spans="1:9" ht="15.75">
      <c r="A13" s="558"/>
      <c r="B13" s="558"/>
      <c r="C13" s="558"/>
      <c r="D13" s="29"/>
      <c r="E13" s="29"/>
      <c r="F13" s="648"/>
      <c r="G13" s="642"/>
      <c r="H13" s="642"/>
      <c r="I13" s="649"/>
    </row>
    <row r="14" spans="1:9" ht="41.45" customHeight="1">
      <c r="A14" s="721" t="s">
        <v>8</v>
      </c>
      <c r="B14" s="721"/>
      <c r="C14" s="721"/>
      <c r="D14" s="681" t="s">
        <v>24</v>
      </c>
      <c r="E14" s="684" t="s">
        <v>25</v>
      </c>
      <c r="F14" s="11" t="s">
        <v>9</v>
      </c>
      <c r="G14" s="9" t="s">
        <v>10</v>
      </c>
      <c r="H14" s="10" t="s">
        <v>29</v>
      </c>
      <c r="I14" s="10" t="s">
        <v>12</v>
      </c>
    </row>
    <row r="15" spans="1:9" ht="15">
      <c r="A15" s="555"/>
      <c r="B15" s="555"/>
      <c r="C15" s="555"/>
      <c r="D15" s="682"/>
      <c r="E15" s="685"/>
      <c r="F15" s="564" t="s">
        <v>2</v>
      </c>
      <c r="G15" s="564"/>
      <c r="H15" s="565"/>
      <c r="I15" s="8" t="s">
        <v>0</v>
      </c>
    </row>
    <row r="16" spans="1:9">
      <c r="A16" s="558"/>
      <c r="B16" s="558"/>
      <c r="C16" s="558"/>
      <c r="D16" s="683"/>
      <c r="E16" s="686"/>
      <c r="F16" s="39" t="s">
        <v>4</v>
      </c>
      <c r="G16" s="40" t="s">
        <v>5</v>
      </c>
      <c r="H16" s="40" t="s">
        <v>30</v>
      </c>
      <c r="I16" s="41"/>
    </row>
    <row r="17" spans="1:9" ht="42.75" customHeight="1">
      <c r="A17" s="42" t="s">
        <v>31</v>
      </c>
      <c r="B17" s="587" t="s">
        <v>32</v>
      </c>
      <c r="C17" s="588"/>
      <c r="D17" s="43">
        <v>5.0000000000000001E-3</v>
      </c>
      <c r="E17" s="30">
        <f t="shared" ref="E17:E48" si="0">IF(COUNTA(F17:H17)&gt;1, "PORFAVOR MARQUE UNA SOLA OPCION", IF(OR(F17&lt;&gt;"", H17&lt;&gt;""), D17, IF(G17&lt;&gt;"", 0, 0)))</f>
        <v>0</v>
      </c>
      <c r="F17" s="44"/>
      <c r="G17" s="45"/>
      <c r="H17" s="45"/>
      <c r="I17" s="46"/>
    </row>
    <row r="18" spans="1:9" ht="15.75">
      <c r="A18" s="692" t="s">
        <v>33</v>
      </c>
      <c r="B18" s="619" t="s">
        <v>34</v>
      </c>
      <c r="C18" s="587"/>
      <c r="D18" s="43">
        <v>5.0000000000000001E-3</v>
      </c>
      <c r="E18" s="30">
        <f t="shared" si="0"/>
        <v>0</v>
      </c>
      <c r="F18" s="47"/>
      <c r="G18" s="45"/>
      <c r="H18" s="45"/>
      <c r="I18" s="48"/>
    </row>
    <row r="19" spans="1:9" ht="131.44999999999999" customHeight="1">
      <c r="A19" s="693"/>
      <c r="B19" s="587" t="s">
        <v>35</v>
      </c>
      <c r="C19" s="588"/>
      <c r="D19" s="49">
        <v>0.01</v>
      </c>
      <c r="E19" s="30">
        <f t="shared" si="0"/>
        <v>0</v>
      </c>
      <c r="F19" s="47"/>
      <c r="G19" s="45"/>
      <c r="H19" s="45"/>
      <c r="I19" s="48"/>
    </row>
    <row r="20" spans="1:9" ht="42" customHeight="1">
      <c r="A20" s="693"/>
      <c r="B20" s="619" t="s">
        <v>36</v>
      </c>
      <c r="C20" s="587"/>
      <c r="D20" s="50">
        <v>0.01</v>
      </c>
      <c r="E20" s="30">
        <f t="shared" si="0"/>
        <v>0</v>
      </c>
      <c r="F20" s="51"/>
      <c r="G20" s="45"/>
      <c r="H20" s="45"/>
      <c r="I20" s="52"/>
    </row>
    <row r="21" spans="1:9" ht="15.75">
      <c r="A21" s="693"/>
      <c r="B21" s="619" t="s">
        <v>37</v>
      </c>
      <c r="C21" s="587"/>
      <c r="D21" s="50">
        <v>0.01</v>
      </c>
      <c r="E21" s="30">
        <f t="shared" si="0"/>
        <v>0</v>
      </c>
      <c r="F21" s="51"/>
      <c r="G21" s="45"/>
      <c r="H21" s="45"/>
      <c r="I21" s="52"/>
    </row>
    <row r="22" spans="1:9" ht="48" customHeight="1">
      <c r="A22" s="694"/>
      <c r="B22" s="619" t="s">
        <v>38</v>
      </c>
      <c r="C22" s="587"/>
      <c r="D22" s="50">
        <v>0.02</v>
      </c>
      <c r="E22" s="30">
        <f t="shared" si="0"/>
        <v>0</v>
      </c>
      <c r="F22" s="51"/>
      <c r="G22" s="45"/>
      <c r="H22" s="45"/>
      <c r="I22" s="53"/>
    </row>
    <row r="23" spans="1:9" ht="67.5" customHeight="1">
      <c r="A23" s="582" t="s">
        <v>39</v>
      </c>
      <c r="B23" s="700" t="s">
        <v>40</v>
      </c>
      <c r="C23" s="701"/>
      <c r="D23" s="54">
        <v>0.01</v>
      </c>
      <c r="E23" s="30">
        <f t="shared" si="0"/>
        <v>0</v>
      </c>
      <c r="F23" s="51"/>
      <c r="G23" s="55"/>
      <c r="H23" s="55"/>
      <c r="I23" s="46"/>
    </row>
    <row r="24" spans="1:9" ht="57" customHeight="1">
      <c r="A24" s="582"/>
      <c r="B24" s="619" t="s">
        <v>41</v>
      </c>
      <c r="C24" s="619"/>
      <c r="D24" s="54">
        <v>0.01</v>
      </c>
      <c r="E24" s="30">
        <f t="shared" si="0"/>
        <v>0</v>
      </c>
      <c r="F24" s="51"/>
      <c r="G24" s="55"/>
      <c r="H24" s="55"/>
      <c r="I24" s="55"/>
    </row>
    <row r="25" spans="1:9" ht="36" customHeight="1">
      <c r="A25" s="582"/>
      <c r="B25" s="700" t="s">
        <v>42</v>
      </c>
      <c r="C25" s="701"/>
      <c r="D25" s="54">
        <v>0.01</v>
      </c>
      <c r="E25" s="30">
        <f t="shared" si="0"/>
        <v>0</v>
      </c>
      <c r="F25" s="51"/>
      <c r="G25" s="55"/>
      <c r="H25" s="55"/>
      <c r="I25" s="55"/>
    </row>
    <row r="26" spans="1:9" ht="15.75">
      <c r="A26" s="582"/>
      <c r="B26" s="711" t="s">
        <v>43</v>
      </c>
      <c r="C26" s="712"/>
      <c r="D26" s="56"/>
      <c r="E26" s="30">
        <f t="shared" si="0"/>
        <v>0</v>
      </c>
      <c r="F26" s="51"/>
      <c r="G26" s="55"/>
      <c r="H26" s="55"/>
      <c r="I26" s="55"/>
    </row>
    <row r="27" spans="1:9" ht="15.75">
      <c r="A27" s="582"/>
      <c r="B27" s="587" t="s">
        <v>44</v>
      </c>
      <c r="C27" s="689"/>
      <c r="D27" s="57">
        <v>0.01</v>
      </c>
      <c r="E27" s="30">
        <f t="shared" si="0"/>
        <v>0</v>
      </c>
      <c r="F27" s="51"/>
      <c r="G27" s="55"/>
      <c r="H27" s="55"/>
      <c r="I27" s="55"/>
    </row>
    <row r="28" spans="1:9" ht="15.75">
      <c r="A28" s="582"/>
      <c r="B28" s="587" t="s">
        <v>45</v>
      </c>
      <c r="C28" s="689"/>
      <c r="D28" s="57">
        <v>0.01</v>
      </c>
      <c r="E28" s="30">
        <f t="shared" si="0"/>
        <v>0</v>
      </c>
      <c r="F28" s="51"/>
      <c r="G28" s="55"/>
      <c r="H28" s="55"/>
      <c r="I28" s="55"/>
    </row>
    <row r="29" spans="1:9" ht="63" customHeight="1">
      <c r="A29" s="582"/>
      <c r="B29" s="700" t="s">
        <v>46</v>
      </c>
      <c r="C29" s="701"/>
      <c r="D29" s="54">
        <v>0.01</v>
      </c>
      <c r="E29" s="30">
        <f t="shared" si="0"/>
        <v>0</v>
      </c>
      <c r="F29" s="51"/>
      <c r="G29" s="55"/>
      <c r="H29" s="55"/>
      <c r="I29" s="55"/>
    </row>
    <row r="30" spans="1:9" ht="45.75" customHeight="1">
      <c r="A30" s="582"/>
      <c r="B30" s="587" t="s">
        <v>47</v>
      </c>
      <c r="C30" s="689"/>
      <c r="D30" s="58">
        <v>1.4999999999999999E-2</v>
      </c>
      <c r="E30" s="30">
        <f t="shared" si="0"/>
        <v>0</v>
      </c>
      <c r="F30" s="51"/>
      <c r="G30" s="55"/>
      <c r="H30" s="55"/>
      <c r="I30" s="55"/>
    </row>
    <row r="31" spans="1:9" ht="26.25" customHeight="1">
      <c r="A31" s="582"/>
      <c r="B31" s="587" t="s">
        <v>48</v>
      </c>
      <c r="C31" s="689"/>
      <c r="D31" s="57">
        <v>0.01</v>
      </c>
      <c r="E31" s="30">
        <f t="shared" si="0"/>
        <v>0</v>
      </c>
      <c r="F31" s="51"/>
      <c r="G31" s="55"/>
      <c r="H31" s="55"/>
      <c r="I31" s="55"/>
    </row>
    <row r="32" spans="1:9" ht="57.75" customHeight="1">
      <c r="A32" s="582"/>
      <c r="B32" s="711" t="s">
        <v>49</v>
      </c>
      <c r="C32" s="712"/>
      <c r="D32" s="56"/>
      <c r="E32" s="30">
        <f t="shared" si="0"/>
        <v>0</v>
      </c>
      <c r="F32" s="51"/>
      <c r="G32" s="55"/>
      <c r="H32" s="55"/>
      <c r="I32" s="55"/>
    </row>
    <row r="33" spans="1:9" ht="31.5">
      <c r="A33" s="582"/>
      <c r="B33" s="59" t="s">
        <v>50</v>
      </c>
      <c r="C33" s="60" t="s">
        <v>51</v>
      </c>
      <c r="D33" s="61">
        <v>0.01</v>
      </c>
      <c r="E33" s="30">
        <f t="shared" si="0"/>
        <v>0</v>
      </c>
      <c r="F33" s="51"/>
      <c r="G33" s="55"/>
      <c r="H33" s="55"/>
      <c r="I33" s="55"/>
    </row>
    <row r="34" spans="1:9" ht="15.75">
      <c r="A34" s="582"/>
      <c r="B34" s="587" t="s">
        <v>52</v>
      </c>
      <c r="C34" s="689"/>
      <c r="D34" s="58">
        <v>5.0000000000000001E-3</v>
      </c>
      <c r="E34" s="30">
        <f t="shared" si="0"/>
        <v>0</v>
      </c>
      <c r="F34" s="62"/>
      <c r="G34" s="51"/>
      <c r="H34" s="55"/>
      <c r="I34" s="46"/>
    </row>
    <row r="35" spans="1:9" ht="31.5" customHeight="1">
      <c r="A35" s="583"/>
      <c r="B35" s="700" t="s">
        <v>53</v>
      </c>
      <c r="C35" s="701"/>
      <c r="D35" s="58">
        <v>5.0000000000000001E-3</v>
      </c>
      <c r="E35" s="30">
        <f t="shared" si="0"/>
        <v>0</v>
      </c>
      <c r="F35" s="62"/>
      <c r="G35" s="51"/>
      <c r="H35" s="51"/>
      <c r="I35" s="46"/>
    </row>
    <row r="36" spans="1:9" ht="100.9" customHeight="1">
      <c r="A36" s="726" t="s">
        <v>54</v>
      </c>
      <c r="B36" s="698" t="s">
        <v>55</v>
      </c>
      <c r="C36" s="63" t="s">
        <v>56</v>
      </c>
      <c r="D36" s="49">
        <v>0.01</v>
      </c>
      <c r="E36" s="30">
        <f t="shared" si="0"/>
        <v>0</v>
      </c>
      <c r="F36" s="51"/>
      <c r="G36" s="55"/>
      <c r="H36" s="51"/>
      <c r="I36" s="12"/>
    </row>
    <row r="37" spans="1:9" ht="109.15" customHeight="1">
      <c r="A37" s="726"/>
      <c r="B37" s="709"/>
      <c r="C37" s="63" t="s">
        <v>57</v>
      </c>
      <c r="D37" s="49">
        <v>0.01</v>
      </c>
      <c r="E37" s="30">
        <f t="shared" si="0"/>
        <v>0</v>
      </c>
      <c r="F37" s="62"/>
      <c r="G37" s="51"/>
      <c r="H37" s="55"/>
      <c r="I37" s="46"/>
    </row>
    <row r="38" spans="1:9" ht="15">
      <c r="A38" s="726"/>
      <c r="B38" s="709"/>
      <c r="C38" s="64" t="s">
        <v>58</v>
      </c>
      <c r="D38" s="65">
        <v>0.01</v>
      </c>
      <c r="E38" s="30">
        <f t="shared" si="0"/>
        <v>0</v>
      </c>
      <c r="F38" s="62"/>
      <c r="G38" s="51"/>
      <c r="H38" s="55"/>
      <c r="I38" s="55"/>
    </row>
    <row r="39" spans="1:9" ht="94.9" customHeight="1">
      <c r="A39" s="726"/>
      <c r="B39" s="709"/>
      <c r="C39" s="63" t="s">
        <v>59</v>
      </c>
      <c r="D39" s="49">
        <v>0.01</v>
      </c>
      <c r="E39" s="30">
        <f t="shared" si="0"/>
        <v>0</v>
      </c>
      <c r="F39" s="62"/>
      <c r="G39" s="51"/>
      <c r="H39" s="55"/>
      <c r="I39" s="46"/>
    </row>
    <row r="40" spans="1:9" ht="15.75">
      <c r="A40" s="726"/>
      <c r="B40" s="699"/>
      <c r="C40" s="66" t="s">
        <v>60</v>
      </c>
      <c r="D40" s="66"/>
      <c r="E40" s="30">
        <f t="shared" si="0"/>
        <v>0</v>
      </c>
      <c r="F40" s="62"/>
      <c r="G40" s="51"/>
      <c r="H40" s="55"/>
      <c r="I40" s="46"/>
    </row>
    <row r="41" spans="1:9" ht="15.75">
      <c r="A41" s="726"/>
      <c r="B41" s="710" t="s">
        <v>61</v>
      </c>
      <c r="C41" s="59" t="s">
        <v>62</v>
      </c>
      <c r="D41" s="67">
        <v>0.01</v>
      </c>
      <c r="E41" s="30">
        <f t="shared" si="0"/>
        <v>0</v>
      </c>
      <c r="F41" s="51"/>
      <c r="G41" s="55"/>
      <c r="H41" s="55"/>
      <c r="I41" s="55"/>
    </row>
    <row r="42" spans="1:9" ht="15.75">
      <c r="A42" s="726"/>
      <c r="B42" s="710"/>
      <c r="C42" s="64" t="s">
        <v>63</v>
      </c>
      <c r="D42" s="67">
        <v>0.01</v>
      </c>
      <c r="E42" s="30">
        <f t="shared" si="0"/>
        <v>0</v>
      </c>
      <c r="F42" s="62"/>
      <c r="G42" s="51"/>
      <c r="H42" s="55"/>
      <c r="I42" s="46"/>
    </row>
    <row r="43" spans="1:9" ht="15.75">
      <c r="A43" s="726"/>
      <c r="B43" s="710"/>
      <c r="C43" s="63" t="s">
        <v>64</v>
      </c>
      <c r="D43" s="67">
        <v>0.01</v>
      </c>
      <c r="E43" s="30">
        <f t="shared" si="0"/>
        <v>0</v>
      </c>
      <c r="F43" s="51"/>
      <c r="G43" s="55"/>
      <c r="H43" s="55"/>
      <c r="I43" s="55"/>
    </row>
    <row r="44" spans="1:9" ht="15.75">
      <c r="A44" s="726"/>
      <c r="B44" s="710" t="s">
        <v>65</v>
      </c>
      <c r="C44" s="68" t="s">
        <v>66</v>
      </c>
      <c r="D44" s="69">
        <v>0.01</v>
      </c>
      <c r="E44" s="30">
        <f t="shared" si="0"/>
        <v>0</v>
      </c>
      <c r="F44" s="62"/>
      <c r="G44" s="51"/>
      <c r="H44" s="55"/>
      <c r="I44" s="46"/>
    </row>
    <row r="45" spans="1:9" ht="47.25">
      <c r="A45" s="726"/>
      <c r="B45" s="710"/>
      <c r="C45" s="68" t="s">
        <v>67</v>
      </c>
      <c r="D45" s="69">
        <v>0.01</v>
      </c>
      <c r="E45" s="30">
        <f t="shared" si="0"/>
        <v>0</v>
      </c>
      <c r="F45" s="51"/>
      <c r="G45" s="55"/>
      <c r="H45" s="55"/>
      <c r="I45" s="55"/>
    </row>
    <row r="46" spans="1:9" ht="15.75">
      <c r="A46" s="726"/>
      <c r="B46" s="698" t="s">
        <v>68</v>
      </c>
      <c r="C46" s="68" t="s">
        <v>69</v>
      </c>
      <c r="D46" s="70">
        <v>5.0000000000000001E-3</v>
      </c>
      <c r="E46" s="30">
        <f t="shared" si="0"/>
        <v>0</v>
      </c>
      <c r="F46" s="51"/>
      <c r="G46" s="55"/>
      <c r="H46" s="55"/>
      <c r="I46" s="55"/>
    </row>
    <row r="47" spans="1:9" ht="31.5">
      <c r="A47" s="726"/>
      <c r="B47" s="709"/>
      <c r="C47" s="71" t="s">
        <v>70</v>
      </c>
      <c r="D47" s="70">
        <v>5.0000000000000001E-3</v>
      </c>
      <c r="E47" s="30">
        <f t="shared" si="0"/>
        <v>0</v>
      </c>
      <c r="F47" s="62"/>
      <c r="G47" s="51"/>
      <c r="H47" s="55"/>
      <c r="I47" s="55"/>
    </row>
    <row r="48" spans="1:9" ht="31.5">
      <c r="A48" s="726"/>
      <c r="B48" s="709"/>
      <c r="C48" s="71" t="s">
        <v>71</v>
      </c>
      <c r="D48" s="70">
        <v>5.0000000000000001E-3</v>
      </c>
      <c r="E48" s="30">
        <f t="shared" si="0"/>
        <v>0</v>
      </c>
      <c r="F48" s="62"/>
      <c r="G48" s="51"/>
      <c r="H48" s="55"/>
      <c r="I48" s="55"/>
    </row>
    <row r="49" spans="1:9" ht="31.5">
      <c r="A49" s="726"/>
      <c r="B49" s="699"/>
      <c r="C49" s="71" t="s">
        <v>72</v>
      </c>
      <c r="D49" s="70">
        <v>5.0000000000000001E-3</v>
      </c>
      <c r="E49" s="30">
        <f t="shared" ref="E49:E80" si="1">IF(COUNTA(F49:H49)&gt;1, "PORFAVOR MARQUE UNA SOLA OPCION", IF(OR(F49&lt;&gt;"", H49&lt;&gt;""), D49, IF(G49&lt;&gt;"", 0, 0)))</f>
        <v>0</v>
      </c>
      <c r="F49" s="62"/>
      <c r="G49" s="51"/>
      <c r="H49" s="55"/>
      <c r="I49" s="55"/>
    </row>
    <row r="50" spans="1:9" ht="31.5">
      <c r="A50" s="726"/>
      <c r="B50" s="698" t="s">
        <v>73</v>
      </c>
      <c r="C50" s="63" t="s">
        <v>74</v>
      </c>
      <c r="D50" s="70">
        <v>5.0000000000000001E-3</v>
      </c>
      <c r="E50" s="30">
        <f t="shared" si="1"/>
        <v>0</v>
      </c>
      <c r="F50" s="62"/>
      <c r="G50" s="55"/>
      <c r="H50" s="51"/>
      <c r="I50" s="46"/>
    </row>
    <row r="51" spans="1:9" ht="15.75">
      <c r="A51" s="726"/>
      <c r="B51" s="709"/>
      <c r="C51" s="63" t="s">
        <v>75</v>
      </c>
      <c r="D51" s="70">
        <v>5.0000000000000001E-3</v>
      </c>
      <c r="E51" s="30">
        <f t="shared" si="1"/>
        <v>0</v>
      </c>
      <c r="F51" s="62"/>
      <c r="G51" s="55"/>
      <c r="H51" s="51"/>
      <c r="I51" s="46"/>
    </row>
    <row r="52" spans="1:9" ht="15.75">
      <c r="A52" s="726"/>
      <c r="B52" s="709"/>
      <c r="C52" s="63" t="s">
        <v>76</v>
      </c>
      <c r="D52" s="70">
        <v>5.0000000000000001E-3</v>
      </c>
      <c r="E52" s="30">
        <f t="shared" si="1"/>
        <v>0</v>
      </c>
      <c r="F52" s="36"/>
      <c r="G52" s="36"/>
      <c r="H52" s="51"/>
      <c r="I52" s="46"/>
    </row>
    <row r="53" spans="1:9" ht="15.75">
      <c r="A53" s="726"/>
      <c r="B53" s="709"/>
      <c r="C53" s="66" t="s">
        <v>77</v>
      </c>
      <c r="D53" s="72"/>
      <c r="E53" s="30">
        <f t="shared" si="1"/>
        <v>0</v>
      </c>
      <c r="F53" s="51"/>
      <c r="G53" s="36"/>
      <c r="H53" s="51"/>
      <c r="I53" s="36"/>
    </row>
    <row r="54" spans="1:9" ht="15.75">
      <c r="A54" s="726"/>
      <c r="B54" s="709"/>
      <c r="C54" s="66" t="s">
        <v>78</v>
      </c>
      <c r="D54" s="72"/>
      <c r="E54" s="30">
        <f t="shared" si="1"/>
        <v>0</v>
      </c>
      <c r="F54" s="51"/>
      <c r="G54" s="36"/>
      <c r="H54" s="51"/>
      <c r="I54" s="36"/>
    </row>
    <row r="55" spans="1:9" ht="31.5">
      <c r="A55" s="726"/>
      <c r="B55" s="709"/>
      <c r="C55" s="63" t="s">
        <v>79</v>
      </c>
      <c r="D55" s="70">
        <v>5.0000000000000001E-3</v>
      </c>
      <c r="E55" s="30">
        <f t="shared" si="1"/>
        <v>0</v>
      </c>
      <c r="F55" s="51"/>
      <c r="G55" s="36"/>
      <c r="H55" s="51"/>
      <c r="I55" s="36"/>
    </row>
    <row r="56" spans="1:9" ht="15.75">
      <c r="A56" s="726"/>
      <c r="B56" s="699"/>
      <c r="C56" s="63" t="s">
        <v>80</v>
      </c>
      <c r="D56" s="70">
        <v>5.0000000000000001E-3</v>
      </c>
      <c r="E56" s="30">
        <f t="shared" si="1"/>
        <v>0</v>
      </c>
      <c r="F56" s="51"/>
      <c r="G56" s="36"/>
      <c r="H56" s="51"/>
      <c r="I56" s="36"/>
    </row>
    <row r="57" spans="1:9" ht="15.75">
      <c r="A57" s="726"/>
      <c r="B57" s="692" t="s">
        <v>81</v>
      </c>
      <c r="C57" s="63" t="s">
        <v>82</v>
      </c>
      <c r="D57" s="49">
        <v>0.02</v>
      </c>
      <c r="E57" s="30">
        <f t="shared" si="1"/>
        <v>0</v>
      </c>
      <c r="F57" s="51"/>
      <c r="G57" s="55"/>
      <c r="H57" s="55"/>
      <c r="I57" s="55"/>
    </row>
    <row r="58" spans="1:9" ht="15.75">
      <c r="A58" s="726"/>
      <c r="B58" s="693"/>
      <c r="C58" s="63" t="s">
        <v>83</v>
      </c>
      <c r="D58" s="49">
        <v>0.02</v>
      </c>
      <c r="E58" s="30">
        <f t="shared" si="1"/>
        <v>0</v>
      </c>
      <c r="F58" s="51"/>
      <c r="G58" s="51"/>
      <c r="H58" s="55"/>
      <c r="I58" s="55"/>
    </row>
    <row r="59" spans="1:9" ht="15.75">
      <c r="A59" s="726"/>
      <c r="B59" s="694"/>
      <c r="C59" s="63" t="s">
        <v>84</v>
      </c>
      <c r="D59" s="49">
        <v>0.02</v>
      </c>
      <c r="E59" s="30">
        <f t="shared" si="1"/>
        <v>0</v>
      </c>
      <c r="F59" s="51"/>
      <c r="G59" s="51"/>
      <c r="H59" s="36"/>
      <c r="I59" s="36"/>
    </row>
    <row r="60" spans="1:9" ht="15.75">
      <c r="A60" s="726"/>
      <c r="B60" s="692" t="s">
        <v>85</v>
      </c>
      <c r="C60" s="63" t="s">
        <v>86</v>
      </c>
      <c r="D60" s="49">
        <v>0.02</v>
      </c>
      <c r="E60" s="30">
        <f t="shared" si="1"/>
        <v>0</v>
      </c>
      <c r="F60" s="36"/>
      <c r="G60" s="51"/>
      <c r="H60" s="36"/>
      <c r="I60" s="73"/>
    </row>
    <row r="61" spans="1:9" ht="15.75">
      <c r="A61" s="726"/>
      <c r="B61" s="694"/>
      <c r="C61" s="63" t="s">
        <v>87</v>
      </c>
      <c r="D61" s="49">
        <v>0.02</v>
      </c>
      <c r="E61" s="30">
        <f t="shared" si="1"/>
        <v>0</v>
      </c>
      <c r="F61" s="51"/>
      <c r="G61" s="51"/>
      <c r="H61" s="36"/>
      <c r="I61" s="36"/>
    </row>
    <row r="62" spans="1:9" ht="44.45" customHeight="1">
      <c r="A62" s="726"/>
      <c r="B62" s="696" t="s">
        <v>88</v>
      </c>
      <c r="C62" s="63" t="s">
        <v>89</v>
      </c>
      <c r="D62" s="43">
        <v>5.0000000000000001E-3</v>
      </c>
      <c r="E62" s="30">
        <f t="shared" si="1"/>
        <v>0</v>
      </c>
      <c r="F62" s="36"/>
      <c r="G62" s="51"/>
      <c r="H62" s="36"/>
      <c r="I62" s="722"/>
    </row>
    <row r="63" spans="1:9" ht="25.5">
      <c r="A63" s="726"/>
      <c r="B63" s="697"/>
      <c r="C63" s="64" t="s">
        <v>90</v>
      </c>
      <c r="D63" s="43">
        <v>5.0000000000000001E-3</v>
      </c>
      <c r="E63" s="30">
        <f t="shared" si="1"/>
        <v>0</v>
      </c>
      <c r="F63" s="36"/>
      <c r="G63" s="51"/>
      <c r="H63" s="36"/>
      <c r="I63" s="723"/>
    </row>
    <row r="64" spans="1:9" ht="31.5">
      <c r="A64" s="726"/>
      <c r="B64" s="74" t="s">
        <v>91</v>
      </c>
      <c r="C64" s="63" t="s">
        <v>92</v>
      </c>
      <c r="D64" s="43">
        <v>5.0000000000000001E-3</v>
      </c>
      <c r="E64" s="30">
        <f t="shared" si="1"/>
        <v>0</v>
      </c>
      <c r="F64" s="36"/>
      <c r="G64" s="51"/>
      <c r="H64" s="36"/>
      <c r="I64" s="73"/>
    </row>
    <row r="65" spans="1:9" ht="28.5">
      <c r="A65" s="726"/>
      <c r="B65" s="74" t="s">
        <v>93</v>
      </c>
      <c r="C65" s="63" t="s">
        <v>94</v>
      </c>
      <c r="D65" s="43">
        <v>5.0000000000000001E-3</v>
      </c>
      <c r="E65" s="30">
        <f t="shared" si="1"/>
        <v>0</v>
      </c>
      <c r="F65" s="51"/>
      <c r="G65" s="36"/>
      <c r="H65" s="36"/>
      <c r="I65" s="36"/>
    </row>
    <row r="66" spans="1:9" ht="15.75">
      <c r="A66" s="726"/>
      <c r="B66" s="75" t="s">
        <v>95</v>
      </c>
      <c r="C66" s="63" t="s">
        <v>96</v>
      </c>
      <c r="D66" s="49">
        <v>0.01</v>
      </c>
      <c r="E66" s="30">
        <f t="shared" si="1"/>
        <v>0</v>
      </c>
      <c r="F66" s="51"/>
      <c r="G66" s="36"/>
      <c r="H66" s="36"/>
      <c r="I66" s="36"/>
    </row>
    <row r="67" spans="1:9" ht="15.75">
      <c r="A67" s="581" t="s">
        <v>97</v>
      </c>
      <c r="B67" s="724" t="s">
        <v>98</v>
      </c>
      <c r="C67" s="725"/>
      <c r="D67" s="57">
        <v>0.01</v>
      </c>
      <c r="E67" s="30">
        <f t="shared" si="1"/>
        <v>0</v>
      </c>
      <c r="F67" s="51"/>
      <c r="G67" s="36"/>
      <c r="H67" s="36"/>
      <c r="I67" s="36"/>
    </row>
    <row r="68" spans="1:9" ht="45.75" customHeight="1">
      <c r="A68" s="583"/>
      <c r="B68" s="587" t="s">
        <v>99</v>
      </c>
      <c r="C68" s="689"/>
      <c r="D68" s="57">
        <v>0.01</v>
      </c>
      <c r="E68" s="30">
        <f t="shared" si="1"/>
        <v>0</v>
      </c>
      <c r="F68" s="51"/>
      <c r="G68" s="36"/>
      <c r="H68" s="36"/>
      <c r="I68" s="36"/>
    </row>
    <row r="69" spans="1:9" ht="15.75">
      <c r="A69" s="581" t="s">
        <v>100</v>
      </c>
      <c r="B69" s="711" t="s">
        <v>101</v>
      </c>
      <c r="C69" s="712"/>
      <c r="D69" s="56"/>
      <c r="E69" s="30">
        <f t="shared" si="1"/>
        <v>0</v>
      </c>
      <c r="F69" s="76"/>
      <c r="G69" s="51"/>
      <c r="H69" s="76"/>
      <c r="I69" s="76"/>
    </row>
    <row r="70" spans="1:9" ht="15.75">
      <c r="A70" s="582"/>
      <c r="B70" s="711" t="s">
        <v>102</v>
      </c>
      <c r="C70" s="712"/>
      <c r="D70" s="56"/>
      <c r="E70" s="30">
        <f t="shared" si="1"/>
        <v>0</v>
      </c>
      <c r="F70" s="51"/>
      <c r="G70" s="36"/>
      <c r="H70" s="36"/>
      <c r="I70" s="36"/>
    </row>
    <row r="71" spans="1:9" ht="15.75">
      <c r="A71" s="582"/>
      <c r="B71" s="587" t="s">
        <v>103</v>
      </c>
      <c r="C71" s="689"/>
      <c r="D71" s="57">
        <v>0.03</v>
      </c>
      <c r="E71" s="30">
        <f t="shared" si="1"/>
        <v>0</v>
      </c>
      <c r="F71" s="51"/>
      <c r="G71" s="36"/>
      <c r="H71" s="36"/>
      <c r="I71" s="36"/>
    </row>
    <row r="72" spans="1:9" ht="15.75">
      <c r="A72" s="582"/>
      <c r="B72" s="587" t="s">
        <v>104</v>
      </c>
      <c r="C72" s="689"/>
      <c r="D72" s="57">
        <v>0.03</v>
      </c>
      <c r="E72" s="30">
        <f t="shared" si="1"/>
        <v>0</v>
      </c>
      <c r="F72" s="36"/>
      <c r="G72" s="36"/>
      <c r="H72" s="51"/>
      <c r="I72" s="36"/>
    </row>
    <row r="73" spans="1:9" ht="15.75">
      <c r="A73" s="582"/>
      <c r="B73" s="587" t="s">
        <v>105</v>
      </c>
      <c r="C73" s="689"/>
      <c r="D73" s="57">
        <v>0.03</v>
      </c>
      <c r="E73" s="30">
        <f t="shared" si="1"/>
        <v>0</v>
      </c>
      <c r="F73" s="36"/>
      <c r="G73" s="36"/>
      <c r="H73" s="51"/>
      <c r="I73" s="36"/>
    </row>
    <row r="74" spans="1:9" ht="15.75">
      <c r="A74" s="582"/>
      <c r="B74" s="587" t="s">
        <v>106</v>
      </c>
      <c r="C74" s="689"/>
      <c r="D74" s="57">
        <v>0.03</v>
      </c>
      <c r="E74" s="30">
        <f t="shared" si="1"/>
        <v>0</v>
      </c>
      <c r="F74" s="36"/>
      <c r="G74" s="36"/>
      <c r="H74" s="51"/>
      <c r="I74" s="36"/>
    </row>
    <row r="75" spans="1:9" ht="15.75">
      <c r="A75" s="582"/>
      <c r="B75" s="587" t="s">
        <v>107</v>
      </c>
      <c r="C75" s="689"/>
      <c r="D75" s="57">
        <v>0.03</v>
      </c>
      <c r="E75" s="30">
        <f t="shared" si="1"/>
        <v>0</v>
      </c>
      <c r="F75" s="36"/>
      <c r="G75" s="36"/>
      <c r="H75" s="51"/>
      <c r="I75" s="36"/>
    </row>
    <row r="76" spans="1:9" ht="15.75">
      <c r="A76" s="582"/>
      <c r="B76" s="587" t="s">
        <v>108</v>
      </c>
      <c r="C76" s="689"/>
      <c r="D76" s="57">
        <v>0.03</v>
      </c>
      <c r="E76" s="30">
        <f t="shared" si="1"/>
        <v>0</v>
      </c>
      <c r="F76" s="36"/>
      <c r="G76" s="36"/>
      <c r="H76" s="51"/>
      <c r="I76" s="36"/>
    </row>
    <row r="77" spans="1:9" ht="15.75">
      <c r="A77" s="582"/>
      <c r="B77" s="587" t="s">
        <v>109</v>
      </c>
      <c r="C77" s="689"/>
      <c r="D77" s="57">
        <v>0.03</v>
      </c>
      <c r="E77" s="30">
        <f t="shared" si="1"/>
        <v>0</v>
      </c>
      <c r="F77" s="36"/>
      <c r="G77" s="36"/>
      <c r="H77" s="51"/>
      <c r="I77" s="36"/>
    </row>
    <row r="78" spans="1:9" ht="15.75">
      <c r="A78" s="582"/>
      <c r="B78" s="587" t="s">
        <v>110</v>
      </c>
      <c r="C78" s="689"/>
      <c r="D78" s="57">
        <v>0.03</v>
      </c>
      <c r="E78" s="30">
        <f t="shared" si="1"/>
        <v>0</v>
      </c>
      <c r="F78" s="36"/>
      <c r="G78" s="51"/>
      <c r="H78" s="36"/>
      <c r="I78" s="73"/>
    </row>
    <row r="79" spans="1:9" ht="15.75">
      <c r="A79" s="582"/>
      <c r="B79" s="587" t="s">
        <v>111</v>
      </c>
      <c r="C79" s="689"/>
      <c r="D79" s="57">
        <v>0.03</v>
      </c>
      <c r="E79" s="30">
        <f t="shared" si="1"/>
        <v>0</v>
      </c>
      <c r="F79" s="36"/>
      <c r="G79" s="51"/>
      <c r="H79" s="36"/>
      <c r="I79" s="36"/>
    </row>
    <row r="80" spans="1:9" ht="15.75">
      <c r="A80" s="582"/>
      <c r="B80" s="587" t="s">
        <v>112</v>
      </c>
      <c r="C80" s="689"/>
      <c r="D80" s="57">
        <v>0.03</v>
      </c>
      <c r="E80" s="30">
        <f t="shared" si="1"/>
        <v>0</v>
      </c>
      <c r="F80" s="36"/>
      <c r="G80" s="36"/>
      <c r="H80" s="51"/>
      <c r="I80" s="36"/>
    </row>
    <row r="81" spans="1:9" ht="15.75">
      <c r="A81" s="582"/>
      <c r="B81" s="587" t="s">
        <v>113</v>
      </c>
      <c r="C81" s="689"/>
      <c r="D81" s="57">
        <v>0.03</v>
      </c>
      <c r="E81" s="30">
        <f t="shared" ref="E81:E112" si="2">IF(COUNTA(F81:H81)&gt;1, "PORFAVOR MARQUE UNA SOLA OPCION", IF(OR(F81&lt;&gt;"", H81&lt;&gt;""), D81, IF(G81&lt;&gt;"", 0, 0)))</f>
        <v>0</v>
      </c>
      <c r="F81" s="36"/>
      <c r="G81" s="51"/>
      <c r="H81" s="36"/>
      <c r="I81" s="73"/>
    </row>
    <row r="82" spans="1:9" ht="15.75">
      <c r="A82" s="582"/>
      <c r="B82" s="587" t="s">
        <v>114</v>
      </c>
      <c r="C82" s="689"/>
      <c r="D82" s="57">
        <v>0.03</v>
      </c>
      <c r="E82" s="30">
        <f t="shared" si="2"/>
        <v>0</v>
      </c>
      <c r="F82" s="36"/>
      <c r="G82" s="36"/>
      <c r="H82" s="51"/>
      <c r="I82" s="36"/>
    </row>
    <row r="83" spans="1:9" ht="15.75">
      <c r="A83" s="582"/>
      <c r="B83" s="587" t="s">
        <v>115</v>
      </c>
      <c r="C83" s="689"/>
      <c r="D83" s="57">
        <v>0.03</v>
      </c>
      <c r="E83" s="30">
        <f t="shared" si="2"/>
        <v>0</v>
      </c>
      <c r="F83" s="36"/>
      <c r="G83" s="36"/>
      <c r="H83" s="51"/>
      <c r="I83" s="36"/>
    </row>
    <row r="84" spans="1:9" ht="15.75">
      <c r="A84" s="582"/>
      <c r="B84" s="711" t="s">
        <v>116</v>
      </c>
      <c r="C84" s="712"/>
      <c r="D84" s="77"/>
      <c r="E84" s="30">
        <f t="shared" si="2"/>
        <v>0</v>
      </c>
      <c r="F84" s="36"/>
      <c r="G84" s="51"/>
      <c r="H84" s="36"/>
      <c r="I84" s="36"/>
    </row>
    <row r="85" spans="1:9" ht="25.5" customHeight="1">
      <c r="A85" s="582"/>
      <c r="B85" s="587" t="s">
        <v>117</v>
      </c>
      <c r="C85" s="689"/>
      <c r="D85" s="57">
        <v>0.01</v>
      </c>
      <c r="E85" s="30">
        <f t="shared" si="2"/>
        <v>0</v>
      </c>
      <c r="F85" s="51"/>
      <c r="G85" s="36"/>
      <c r="H85" s="36"/>
      <c r="I85" s="36"/>
    </row>
    <row r="86" spans="1:9" ht="56.45" customHeight="1">
      <c r="A86" s="582"/>
      <c r="B86" s="587" t="s">
        <v>118</v>
      </c>
      <c r="C86" s="689"/>
      <c r="D86" s="57">
        <v>0.01</v>
      </c>
      <c r="E86" s="30">
        <f t="shared" si="2"/>
        <v>0</v>
      </c>
      <c r="F86" s="51"/>
      <c r="G86" s="36"/>
      <c r="H86" s="36"/>
      <c r="I86" s="36"/>
    </row>
    <row r="87" spans="1:9" ht="37.15" customHeight="1">
      <c r="A87" s="582"/>
      <c r="B87" s="700" t="s">
        <v>119</v>
      </c>
      <c r="C87" s="701"/>
      <c r="D87" s="54">
        <v>0.01</v>
      </c>
      <c r="E87" s="30">
        <f t="shared" si="2"/>
        <v>0</v>
      </c>
      <c r="F87" s="36"/>
      <c r="G87" s="51"/>
      <c r="H87" s="36"/>
      <c r="I87" s="73"/>
    </row>
    <row r="88" spans="1:9" ht="15.75">
      <c r="A88" s="582"/>
      <c r="B88" s="700" t="s">
        <v>120</v>
      </c>
      <c r="C88" s="701"/>
      <c r="D88" s="54">
        <v>0.01</v>
      </c>
      <c r="E88" s="30">
        <f t="shared" si="2"/>
        <v>0</v>
      </c>
      <c r="F88" s="51"/>
      <c r="G88" s="51"/>
      <c r="H88" s="36"/>
      <c r="I88" s="36"/>
    </row>
    <row r="89" spans="1:9" ht="21.75" customHeight="1">
      <c r="A89" s="583"/>
      <c r="B89" s="700" t="s">
        <v>121</v>
      </c>
      <c r="C89" s="701"/>
      <c r="D89" s="54">
        <v>0.01</v>
      </c>
      <c r="E89" s="30">
        <f t="shared" si="2"/>
        <v>0</v>
      </c>
      <c r="F89" s="51"/>
      <c r="G89" s="36"/>
      <c r="H89" s="36"/>
      <c r="I89" s="36"/>
    </row>
    <row r="90" spans="1:9" ht="15">
      <c r="A90" s="692" t="s">
        <v>122</v>
      </c>
      <c r="B90" s="596" t="s">
        <v>123</v>
      </c>
      <c r="C90" s="597"/>
      <c r="D90" s="78">
        <v>0.01</v>
      </c>
      <c r="E90" s="30">
        <f t="shared" si="2"/>
        <v>0</v>
      </c>
      <c r="F90" s="51"/>
      <c r="G90" s="12"/>
      <c r="H90" s="12"/>
      <c r="I90" s="79"/>
    </row>
    <row r="91" spans="1:9" ht="15">
      <c r="A91" s="693"/>
      <c r="B91" s="596" t="s">
        <v>124</v>
      </c>
      <c r="C91" s="597"/>
      <c r="D91" s="78">
        <v>0.01</v>
      </c>
      <c r="E91" s="30">
        <f t="shared" si="2"/>
        <v>0</v>
      </c>
      <c r="F91" s="51"/>
      <c r="G91" s="12"/>
      <c r="H91" s="12"/>
      <c r="I91" s="79"/>
    </row>
    <row r="92" spans="1:9" ht="15">
      <c r="A92" s="693"/>
      <c r="B92" s="596" t="s">
        <v>125</v>
      </c>
      <c r="C92" s="597"/>
      <c r="D92" s="78">
        <v>0.01</v>
      </c>
      <c r="E92" s="30">
        <f t="shared" si="2"/>
        <v>0</v>
      </c>
      <c r="F92" s="51"/>
      <c r="G92" s="12"/>
      <c r="H92" s="12"/>
      <c r="I92" s="79"/>
    </row>
    <row r="93" spans="1:9" ht="15">
      <c r="A93" s="693"/>
      <c r="B93" s="596" t="s">
        <v>126</v>
      </c>
      <c r="C93" s="597"/>
      <c r="D93" s="78">
        <v>0.01</v>
      </c>
      <c r="E93" s="30">
        <f t="shared" si="2"/>
        <v>0</v>
      </c>
      <c r="F93" s="51"/>
      <c r="G93" s="12"/>
      <c r="H93" s="12"/>
      <c r="I93" s="79"/>
    </row>
    <row r="94" spans="1:9" ht="15">
      <c r="A94" s="693"/>
      <c r="B94" s="596" t="s">
        <v>127</v>
      </c>
      <c r="C94" s="597"/>
      <c r="D94" s="78">
        <v>0.01</v>
      </c>
      <c r="E94" s="30">
        <f t="shared" si="2"/>
        <v>0</v>
      </c>
      <c r="F94" s="51"/>
      <c r="G94" s="12"/>
      <c r="H94" s="12"/>
      <c r="I94" s="79"/>
    </row>
    <row r="95" spans="1:9" ht="15">
      <c r="A95" s="693"/>
      <c r="B95" s="596" t="s">
        <v>128</v>
      </c>
      <c r="C95" s="597"/>
      <c r="D95" s="78">
        <v>0.01</v>
      </c>
      <c r="E95" s="30">
        <f t="shared" si="2"/>
        <v>0</v>
      </c>
      <c r="F95" s="51"/>
      <c r="G95" s="12"/>
      <c r="H95" s="12"/>
      <c r="I95" s="79"/>
    </row>
    <row r="96" spans="1:9" ht="15">
      <c r="A96" s="693"/>
      <c r="B96" s="596" t="s">
        <v>129</v>
      </c>
      <c r="C96" s="597"/>
      <c r="D96" s="78">
        <v>0.01</v>
      </c>
      <c r="E96" s="30">
        <f t="shared" si="2"/>
        <v>0</v>
      </c>
      <c r="F96" s="51"/>
      <c r="G96" s="12"/>
      <c r="H96" s="12"/>
      <c r="I96" s="79"/>
    </row>
    <row r="97" spans="1:9" ht="14.45" customHeight="1">
      <c r="A97" s="693"/>
      <c r="B97" s="596" t="s">
        <v>130</v>
      </c>
      <c r="C97" s="597"/>
      <c r="D97" s="78">
        <v>0.01</v>
      </c>
      <c r="E97" s="30">
        <f t="shared" si="2"/>
        <v>0</v>
      </c>
      <c r="F97" s="51"/>
      <c r="G97" s="12"/>
      <c r="H97" s="12"/>
      <c r="I97" s="79"/>
    </row>
    <row r="98" spans="1:9" ht="15">
      <c r="A98" s="693"/>
      <c r="B98" s="596" t="s">
        <v>131</v>
      </c>
      <c r="C98" s="597"/>
      <c r="D98" s="78">
        <v>0.01</v>
      </c>
      <c r="E98" s="30">
        <f t="shared" si="2"/>
        <v>0</v>
      </c>
      <c r="F98" s="51"/>
      <c r="G98" s="12"/>
      <c r="H98" s="12"/>
      <c r="I98" s="79"/>
    </row>
    <row r="99" spans="1:9" ht="15">
      <c r="A99" s="693"/>
      <c r="B99" s="596" t="s">
        <v>132</v>
      </c>
      <c r="C99" s="597"/>
      <c r="D99" s="78">
        <v>0.01</v>
      </c>
      <c r="E99" s="30">
        <f t="shared" si="2"/>
        <v>0</v>
      </c>
      <c r="F99" s="51"/>
      <c r="G99" s="12"/>
      <c r="H99" s="12"/>
      <c r="I99" s="79"/>
    </row>
    <row r="100" spans="1:9" ht="15">
      <c r="A100" s="694"/>
      <c r="B100" s="596" t="s">
        <v>133</v>
      </c>
      <c r="C100" s="597"/>
      <c r="D100" s="78">
        <v>0.01</v>
      </c>
      <c r="E100" s="30">
        <f t="shared" si="2"/>
        <v>0</v>
      </c>
      <c r="F100" s="51"/>
      <c r="G100" s="12"/>
      <c r="H100" s="12"/>
      <c r="I100" s="79"/>
    </row>
    <row r="101" spans="1:9" ht="15">
      <c r="A101" s="610" t="s">
        <v>14</v>
      </c>
      <c r="B101" s="610"/>
      <c r="C101" s="611"/>
      <c r="D101" s="80">
        <f>SUM(D17:D100)</f>
        <v>1.0000000000000007</v>
      </c>
      <c r="E101" s="80"/>
      <c r="F101" s="22">
        <f>COUNT(F17:F100)</f>
        <v>0</v>
      </c>
      <c r="G101" s="22">
        <f>COUNT(G17:G100)</f>
        <v>0</v>
      </c>
      <c r="H101" s="22">
        <f>COUNT(H17:H100)</f>
        <v>0</v>
      </c>
      <c r="I101" s="81"/>
    </row>
    <row r="102" spans="1:9" s="84" customFormat="1" ht="15">
      <c r="A102" s="612"/>
      <c r="B102" s="612"/>
      <c r="C102" s="613"/>
      <c r="D102" s="82"/>
      <c r="E102" s="82"/>
      <c r="F102" s="607">
        <f>IFERROR((F101/((F101+G101+H101)-H101)),0)</f>
        <v>0</v>
      </c>
      <c r="G102" s="608"/>
      <c r="H102" s="609"/>
      <c r="I102" s="83"/>
    </row>
    <row r="104" spans="1:9" ht="15.75">
      <c r="A104" s="15" t="s">
        <v>20</v>
      </c>
      <c r="B104" s="16" t="s">
        <v>15</v>
      </c>
      <c r="C104" s="24"/>
      <c r="D104" s="25"/>
      <c r="E104" s="25"/>
      <c r="F104" s="25"/>
      <c r="G104" s="25"/>
      <c r="H104" s="26"/>
    </row>
    <row r="105" spans="1:9" ht="15.75">
      <c r="A105" s="17" t="s">
        <v>21</v>
      </c>
      <c r="B105" s="475" t="s">
        <v>22</v>
      </c>
      <c r="C105" s="476"/>
      <c r="D105" s="476"/>
      <c r="E105" s="476"/>
      <c r="F105" s="476"/>
      <c r="G105" s="476"/>
      <c r="H105" s="476"/>
    </row>
    <row r="106" spans="1:9" ht="15.75">
      <c r="A106" s="18" t="s">
        <v>23</v>
      </c>
      <c r="B106" s="475" t="s">
        <v>16</v>
      </c>
      <c r="C106" s="475"/>
      <c r="D106" s="475"/>
      <c r="E106" s="475"/>
      <c r="F106" s="475"/>
      <c r="G106" s="475"/>
      <c r="H106" s="475"/>
    </row>
    <row r="107" spans="1:9" ht="15.75">
      <c r="A107" s="19" t="s">
        <v>17</v>
      </c>
      <c r="B107" s="475" t="s">
        <v>18</v>
      </c>
      <c r="C107" s="475"/>
      <c r="D107" s="475"/>
      <c r="E107" s="475"/>
      <c r="F107" s="475"/>
      <c r="G107" s="475"/>
      <c r="H107" s="475"/>
    </row>
  </sheetData>
  <mergeCells count="82">
    <mergeCell ref="C1:G1"/>
    <mergeCell ref="B3:G4"/>
    <mergeCell ref="C7:G7"/>
    <mergeCell ref="A12:C13"/>
    <mergeCell ref="F12:I12"/>
    <mergeCell ref="F13:I13"/>
    <mergeCell ref="D14:D16"/>
    <mergeCell ref="F15:H15"/>
    <mergeCell ref="B17:C17"/>
    <mergeCell ref="A18:A22"/>
    <mergeCell ref="B18:C18"/>
    <mergeCell ref="B19:C19"/>
    <mergeCell ref="B20:C20"/>
    <mergeCell ref="B21:C21"/>
    <mergeCell ref="B22:C22"/>
    <mergeCell ref="B28:C28"/>
    <mergeCell ref="B29:C29"/>
    <mergeCell ref="B30:C30"/>
    <mergeCell ref="B31:C31"/>
    <mergeCell ref="A14:C16"/>
    <mergeCell ref="B32:C32"/>
    <mergeCell ref="B34:C34"/>
    <mergeCell ref="B35:C35"/>
    <mergeCell ref="A36:A66"/>
    <mergeCell ref="B36:B40"/>
    <mergeCell ref="B41:B43"/>
    <mergeCell ref="B44:B45"/>
    <mergeCell ref="B46:B49"/>
    <mergeCell ref="B50:B56"/>
    <mergeCell ref="B57:B59"/>
    <mergeCell ref="A23:A35"/>
    <mergeCell ref="B23:C23"/>
    <mergeCell ref="B24:C24"/>
    <mergeCell ref="B25:C25"/>
    <mergeCell ref="B26:C26"/>
    <mergeCell ref="B27:C27"/>
    <mergeCell ref="B60:B61"/>
    <mergeCell ref="B62:B63"/>
    <mergeCell ref="I62:I63"/>
    <mergeCell ref="A67:A68"/>
    <mergeCell ref="B67:C67"/>
    <mergeCell ref="B68:C68"/>
    <mergeCell ref="B83:C83"/>
    <mergeCell ref="A69:A89"/>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97:C97"/>
    <mergeCell ref="B98:C98"/>
    <mergeCell ref="B84:C84"/>
    <mergeCell ref="B85:C85"/>
    <mergeCell ref="B86:C86"/>
    <mergeCell ref="B87:C87"/>
    <mergeCell ref="B88:C88"/>
    <mergeCell ref="B89:C89"/>
    <mergeCell ref="B107:H107"/>
    <mergeCell ref="E14:E16"/>
    <mergeCell ref="B99:C99"/>
    <mergeCell ref="B100:C100"/>
    <mergeCell ref="A101:C102"/>
    <mergeCell ref="F102:H102"/>
    <mergeCell ref="B105:H105"/>
    <mergeCell ref="B106:H106"/>
    <mergeCell ref="A90:A100"/>
    <mergeCell ref="B90:C90"/>
    <mergeCell ref="B91:C91"/>
    <mergeCell ref="B92:C92"/>
    <mergeCell ref="B93:C93"/>
    <mergeCell ref="B94:C94"/>
    <mergeCell ref="B95:C95"/>
    <mergeCell ref="B96:C96"/>
  </mergeCells>
  <conditionalFormatting sqref="F102:H102">
    <cfRule type="colorScale" priority="7">
      <colorScale>
        <cfvo type="num" val="0.5"/>
        <cfvo type="num" val="0.7"/>
        <cfvo type="num" val="1"/>
        <color rgb="FFFF0000"/>
        <color rgb="FFFFEB84"/>
        <color theme="9" tint="-0.249977111117893"/>
      </colorScale>
    </cfRule>
  </conditionalFormatting>
  <conditionalFormatting sqref="E17:E100">
    <cfRule type="cellIs" dxfId="2" priority="1" operator="equal">
      <formula>0</formula>
    </cfRule>
    <cfRule type="containsText" dxfId="1" priority="2" operator="containsText" text="PORFAVOR MARQUE UNA SOLA OPCION">
      <formula>NOT(ISERROR(SEARCH("PORFAVOR MARQUE UNA SOLA OPCION",E17)))</formula>
    </cfRule>
    <cfRule type="cellIs" dxfId="0" priority="3" operator="greaterThan">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473B-ACE8-422C-ABD4-73A4B809EF2E}">
  <dimension ref="A1:I117"/>
  <sheetViews>
    <sheetView topLeftCell="A79" zoomScale="57" workbookViewId="0">
      <selection activeCell="G95" sqref="G95"/>
    </sheetView>
  </sheetViews>
  <sheetFormatPr baseColWidth="10" defaultRowHeight="14.25"/>
  <cols>
    <col min="1" max="1" width="39.125" customWidth="1"/>
    <col min="2" max="2" width="44.5" customWidth="1"/>
    <col min="3" max="3" width="50.625" customWidth="1"/>
    <col min="4" max="5" width="28.625" customWidth="1"/>
    <col min="6" max="6" width="26.5" customWidth="1"/>
    <col min="7" max="7" width="27" customWidth="1"/>
    <col min="8" max="8" width="20.125" customWidth="1"/>
    <col min="9" max="9" width="34.625" customWidth="1"/>
  </cols>
  <sheetData>
    <row r="1" spans="1:9">
      <c r="A1" s="33"/>
      <c r="B1" s="568" t="s">
        <v>26</v>
      </c>
      <c r="C1" s="568"/>
      <c r="D1" s="568"/>
      <c r="E1" s="568"/>
      <c r="F1" s="568"/>
      <c r="G1" s="568"/>
    </row>
    <row r="2" spans="1:9">
      <c r="A2" s="33"/>
      <c r="B2" s="568"/>
      <c r="C2" s="568"/>
      <c r="D2" s="568"/>
      <c r="E2" s="568"/>
      <c r="F2" s="568"/>
      <c r="G2" s="568"/>
    </row>
    <row r="3" spans="1:9">
      <c r="A3" s="1"/>
      <c r="C3" s="1"/>
      <c r="D3" s="1"/>
      <c r="E3" s="1"/>
    </row>
    <row r="4" spans="1:9">
      <c r="A4" s="1"/>
      <c r="C4" s="1"/>
      <c r="D4" s="1"/>
      <c r="E4" s="1"/>
    </row>
    <row r="5" spans="1:9">
      <c r="A5" s="2" t="s">
        <v>1</v>
      </c>
      <c r="B5" s="3"/>
      <c r="C5" s="569" t="s">
        <v>2</v>
      </c>
      <c r="D5" s="570"/>
      <c r="E5" s="570"/>
      <c r="F5" s="570"/>
      <c r="G5" s="571"/>
    </row>
    <row r="6" spans="1:9">
      <c r="A6" s="2" t="s">
        <v>3</v>
      </c>
      <c r="B6" s="4"/>
      <c r="C6" s="5" t="s">
        <v>4</v>
      </c>
      <c r="D6" s="5"/>
      <c r="E6" s="5"/>
      <c r="F6" s="5" t="s">
        <v>5</v>
      </c>
      <c r="G6" s="5" t="s">
        <v>6</v>
      </c>
    </row>
    <row r="7" spans="1:9">
      <c r="A7" s="2" t="s">
        <v>7</v>
      </c>
      <c r="B7" s="3"/>
      <c r="C7" s="6">
        <v>1</v>
      </c>
      <c r="D7" s="6"/>
      <c r="E7" s="6"/>
      <c r="F7" s="7">
        <v>0</v>
      </c>
      <c r="G7" s="5">
        <v>1</v>
      </c>
    </row>
    <row r="10" spans="1:9" ht="15.75">
      <c r="A10" s="713" t="s">
        <v>27</v>
      </c>
      <c r="B10" s="714"/>
      <c r="C10" s="715"/>
      <c r="D10" s="85"/>
      <c r="E10" s="85"/>
      <c r="F10" s="719" t="s">
        <v>134</v>
      </c>
      <c r="G10" s="719"/>
      <c r="H10" s="719"/>
      <c r="I10" s="720"/>
    </row>
    <row r="11" spans="1:9" ht="15.75">
      <c r="A11" s="716"/>
      <c r="B11" s="717"/>
      <c r="C11" s="718"/>
      <c r="D11" s="86"/>
      <c r="E11" s="86"/>
      <c r="F11" s="648"/>
      <c r="G11" s="642"/>
      <c r="H11" s="642"/>
      <c r="I11" s="649"/>
    </row>
    <row r="12" spans="1:9" ht="15">
      <c r="A12" s="721" t="s">
        <v>8</v>
      </c>
      <c r="B12" s="721"/>
      <c r="C12" s="721"/>
      <c r="D12" s="681" t="s">
        <v>24</v>
      </c>
      <c r="E12" s="684" t="s">
        <v>25</v>
      </c>
      <c r="F12" s="11" t="s">
        <v>135</v>
      </c>
      <c r="G12" s="9" t="s">
        <v>136</v>
      </c>
      <c r="H12" s="10" t="s">
        <v>11</v>
      </c>
      <c r="I12" s="10" t="s">
        <v>12</v>
      </c>
    </row>
    <row r="13" spans="1:9" ht="15">
      <c r="A13" s="555"/>
      <c r="B13" s="555"/>
      <c r="C13" s="555"/>
      <c r="D13" s="682"/>
      <c r="E13" s="685"/>
      <c r="F13" s="564" t="s">
        <v>2</v>
      </c>
      <c r="G13" s="564"/>
      <c r="H13" s="565"/>
      <c r="I13" s="8" t="s">
        <v>0</v>
      </c>
    </row>
    <row r="14" spans="1:9">
      <c r="A14" s="558"/>
      <c r="B14" s="558"/>
      <c r="C14" s="558"/>
      <c r="D14" s="683"/>
      <c r="E14" s="686"/>
      <c r="F14" s="39" t="s">
        <v>4</v>
      </c>
      <c r="G14" s="40" t="s">
        <v>5</v>
      </c>
      <c r="H14" s="40" t="s">
        <v>30</v>
      </c>
      <c r="I14" s="41"/>
    </row>
    <row r="15" spans="1:9" ht="36" customHeight="1">
      <c r="A15" s="42" t="s">
        <v>31</v>
      </c>
      <c r="B15" s="579" t="s">
        <v>32</v>
      </c>
      <c r="C15" s="580"/>
      <c r="D15" s="69">
        <v>0.01</v>
      </c>
      <c r="E15" s="30">
        <f t="shared" ref="E15:E46" si="0">IF(COUNTA(F15:H15)&gt;1, "PORFAVOR MARQUE UNA SOLA OPCION", IF(OR(F15&lt;&gt;"", H15&lt;&gt;""), D15, IF(G15&lt;&gt;"", 0, 0)))</f>
        <v>0</v>
      </c>
      <c r="F15" s="87"/>
      <c r="G15" s="45"/>
      <c r="H15" s="45"/>
      <c r="I15" s="46"/>
    </row>
    <row r="16" spans="1:9" ht="21" customHeight="1">
      <c r="A16" s="692" t="s">
        <v>33</v>
      </c>
      <c r="B16" s="619" t="s">
        <v>34</v>
      </c>
      <c r="C16" s="587"/>
      <c r="D16" s="43">
        <v>5.0000000000000001E-3</v>
      </c>
      <c r="E16" s="30">
        <f t="shared" si="0"/>
        <v>0</v>
      </c>
      <c r="F16" s="87"/>
      <c r="G16" s="45"/>
      <c r="H16" s="45"/>
      <c r="I16" s="52"/>
    </row>
    <row r="17" spans="1:9" ht="32.25" customHeight="1">
      <c r="A17" s="693"/>
      <c r="B17" s="587" t="s">
        <v>35</v>
      </c>
      <c r="C17" s="588"/>
      <c r="D17" s="49">
        <v>0.01</v>
      </c>
      <c r="E17" s="30">
        <f t="shared" si="0"/>
        <v>0</v>
      </c>
      <c r="F17" s="87"/>
      <c r="G17" s="45"/>
      <c r="H17" s="45"/>
      <c r="I17" s="53"/>
    </row>
    <row r="18" spans="1:9" ht="38.25" customHeight="1">
      <c r="A18" s="693"/>
      <c r="B18" s="619" t="s">
        <v>36</v>
      </c>
      <c r="C18" s="587"/>
      <c r="D18" s="43">
        <v>1.4999999999999999E-2</v>
      </c>
      <c r="E18" s="30">
        <f t="shared" si="0"/>
        <v>0</v>
      </c>
      <c r="F18" s="87"/>
      <c r="G18" s="45"/>
      <c r="H18" s="45"/>
      <c r="I18" s="53"/>
    </row>
    <row r="19" spans="1:9" ht="26.25" customHeight="1">
      <c r="A19" s="693"/>
      <c r="B19" s="619" t="s">
        <v>37</v>
      </c>
      <c r="C19" s="587"/>
      <c r="D19" s="43">
        <v>1.4999999999999999E-2</v>
      </c>
      <c r="E19" s="30">
        <f t="shared" si="0"/>
        <v>0</v>
      </c>
      <c r="F19" s="45"/>
      <c r="G19" s="45"/>
      <c r="H19" s="45"/>
      <c r="I19" s="52"/>
    </row>
    <row r="20" spans="1:9" ht="30" customHeight="1">
      <c r="A20" s="694"/>
      <c r="B20" s="619" t="s">
        <v>38</v>
      </c>
      <c r="C20" s="587"/>
      <c r="D20" s="89">
        <v>1.4999999999999999E-2</v>
      </c>
      <c r="E20" s="30">
        <f t="shared" si="0"/>
        <v>0</v>
      </c>
      <c r="F20" s="45"/>
      <c r="G20" s="45"/>
      <c r="H20" s="45"/>
      <c r="I20" s="53"/>
    </row>
    <row r="21" spans="1:9" ht="95.25" customHeight="1">
      <c r="A21" s="581" t="s">
        <v>39</v>
      </c>
      <c r="B21" s="624" t="s">
        <v>137</v>
      </c>
      <c r="C21" s="624"/>
      <c r="D21" s="69">
        <v>0.01</v>
      </c>
      <c r="E21" s="30">
        <f t="shared" si="0"/>
        <v>0</v>
      </c>
      <c r="F21" s="45"/>
      <c r="G21" s="45"/>
      <c r="H21" s="45"/>
      <c r="I21" s="91"/>
    </row>
    <row r="22" spans="1:9" ht="63.75" customHeight="1">
      <c r="A22" s="582"/>
      <c r="B22" s="624" t="s">
        <v>138</v>
      </c>
      <c r="C22" s="624"/>
      <c r="D22" s="69">
        <v>0.01</v>
      </c>
      <c r="E22" s="30">
        <f t="shared" si="0"/>
        <v>0</v>
      </c>
      <c r="F22" s="45"/>
      <c r="G22" s="45"/>
      <c r="H22" s="45"/>
      <c r="I22" s="46"/>
    </row>
    <row r="23" spans="1:9" ht="45" customHeight="1">
      <c r="A23" s="582"/>
      <c r="B23" s="587" t="s">
        <v>139</v>
      </c>
      <c r="C23" s="689"/>
      <c r="D23" s="69">
        <v>0.01</v>
      </c>
      <c r="E23" s="30">
        <f t="shared" si="0"/>
        <v>0</v>
      </c>
      <c r="F23" s="45"/>
      <c r="G23" s="45"/>
      <c r="H23" s="45"/>
      <c r="I23" s="55"/>
    </row>
    <row r="24" spans="1:9" ht="69.75" customHeight="1">
      <c r="A24" s="582"/>
      <c r="B24" s="700" t="s">
        <v>140</v>
      </c>
      <c r="C24" s="701"/>
      <c r="D24" s="69">
        <v>0.01</v>
      </c>
      <c r="E24" s="30">
        <f t="shared" si="0"/>
        <v>0</v>
      </c>
      <c r="F24" s="45"/>
      <c r="G24" s="45"/>
      <c r="H24" s="45"/>
      <c r="I24" s="91"/>
    </row>
    <row r="25" spans="1:9" ht="54.75" customHeight="1">
      <c r="A25" s="582"/>
      <c r="B25" s="700" t="s">
        <v>42</v>
      </c>
      <c r="C25" s="701"/>
      <c r="D25" s="92">
        <v>5.0000000000000001E-3</v>
      </c>
      <c r="E25" s="30">
        <f t="shared" si="0"/>
        <v>0</v>
      </c>
      <c r="F25" s="45"/>
      <c r="G25" s="45"/>
      <c r="H25" s="45"/>
      <c r="I25" s="91"/>
    </row>
    <row r="26" spans="1:9" ht="25.5" customHeight="1">
      <c r="A26" s="582"/>
      <c r="B26" s="711" t="s">
        <v>43</v>
      </c>
      <c r="C26" s="712"/>
      <c r="D26" s="56"/>
      <c r="E26" s="30">
        <f t="shared" si="0"/>
        <v>0</v>
      </c>
      <c r="F26" s="45"/>
      <c r="G26" s="45"/>
      <c r="H26" s="45"/>
      <c r="I26" s="55"/>
    </row>
    <row r="27" spans="1:9" ht="15.75">
      <c r="A27" s="582"/>
      <c r="B27" s="587" t="s">
        <v>44</v>
      </c>
      <c r="C27" s="689"/>
      <c r="D27" s="69">
        <v>0.01</v>
      </c>
      <c r="E27" s="30">
        <f t="shared" si="0"/>
        <v>0</v>
      </c>
      <c r="F27" s="45"/>
      <c r="G27" s="45"/>
      <c r="H27" s="45"/>
      <c r="I27" s="93"/>
    </row>
    <row r="28" spans="1:9" ht="15.75">
      <c r="A28" s="582"/>
      <c r="B28" s="587" t="s">
        <v>45</v>
      </c>
      <c r="C28" s="689"/>
      <c r="D28" s="69">
        <v>0.01</v>
      </c>
      <c r="E28" s="30">
        <f t="shared" si="0"/>
        <v>0</v>
      </c>
      <c r="F28" s="45"/>
      <c r="G28" s="45"/>
      <c r="H28" s="45"/>
      <c r="I28" s="94"/>
    </row>
    <row r="29" spans="1:9" ht="63" customHeight="1">
      <c r="A29" s="582"/>
      <c r="B29" s="700" t="s">
        <v>46</v>
      </c>
      <c r="C29" s="701"/>
      <c r="D29" s="69">
        <v>0.01</v>
      </c>
      <c r="E29" s="30">
        <f t="shared" si="0"/>
        <v>0</v>
      </c>
      <c r="F29" s="45"/>
      <c r="G29" s="45"/>
      <c r="H29" s="45"/>
      <c r="I29" s="91"/>
    </row>
    <row r="30" spans="1:9" ht="61.5" customHeight="1">
      <c r="A30" s="582"/>
      <c r="B30" s="700" t="s">
        <v>141</v>
      </c>
      <c r="C30" s="701"/>
      <c r="D30" s="69">
        <v>0.01</v>
      </c>
      <c r="E30" s="30">
        <f t="shared" si="0"/>
        <v>0</v>
      </c>
      <c r="F30" s="45"/>
      <c r="G30" s="45"/>
      <c r="H30" s="45"/>
      <c r="I30" s="46"/>
    </row>
    <row r="31" spans="1:9" ht="39.75" customHeight="1">
      <c r="A31" s="582"/>
      <c r="B31" s="700" t="s">
        <v>142</v>
      </c>
      <c r="C31" s="701"/>
      <c r="D31" s="69">
        <v>0.01</v>
      </c>
      <c r="E31" s="30">
        <f t="shared" si="0"/>
        <v>0</v>
      </c>
      <c r="F31" s="45"/>
      <c r="G31" s="45"/>
      <c r="H31" s="45"/>
      <c r="I31" s="91"/>
    </row>
    <row r="32" spans="1:9" ht="74.25" customHeight="1">
      <c r="A32" s="582"/>
      <c r="B32" s="587" t="s">
        <v>49</v>
      </c>
      <c r="C32" s="689"/>
      <c r="D32" s="58">
        <v>5.0000000000000001E-3</v>
      </c>
      <c r="E32" s="30">
        <f t="shared" si="0"/>
        <v>0</v>
      </c>
      <c r="F32" s="45"/>
      <c r="G32" s="45"/>
      <c r="H32" s="45"/>
      <c r="I32" s="55"/>
    </row>
    <row r="33" spans="1:9" ht="46.5" customHeight="1">
      <c r="A33" s="582"/>
      <c r="B33" s="90" t="s">
        <v>143</v>
      </c>
      <c r="C33" s="95" t="s">
        <v>51</v>
      </c>
      <c r="D33" s="61">
        <v>0.01</v>
      </c>
      <c r="E33" s="30">
        <f t="shared" si="0"/>
        <v>0</v>
      </c>
      <c r="F33" s="45"/>
      <c r="G33" s="45"/>
      <c r="H33" s="45"/>
      <c r="I33" s="91"/>
    </row>
    <row r="34" spans="1:9" ht="30.75" customHeight="1">
      <c r="A34" s="582"/>
      <c r="B34" s="587" t="s">
        <v>52</v>
      </c>
      <c r="C34" s="689"/>
      <c r="D34" s="61">
        <v>0.01</v>
      </c>
      <c r="E34" s="30">
        <f t="shared" si="0"/>
        <v>0</v>
      </c>
      <c r="F34" s="45"/>
      <c r="G34" s="45"/>
      <c r="H34" s="45"/>
      <c r="I34" s="55"/>
    </row>
    <row r="35" spans="1:9" ht="39.75" customHeight="1">
      <c r="A35" s="583"/>
      <c r="B35" s="700" t="s">
        <v>53</v>
      </c>
      <c r="C35" s="701"/>
      <c r="D35" s="58">
        <v>5.0000000000000001E-3</v>
      </c>
      <c r="E35" s="30">
        <f t="shared" si="0"/>
        <v>0</v>
      </c>
      <c r="F35" s="45"/>
      <c r="G35" s="45"/>
      <c r="H35" s="45"/>
      <c r="I35" s="55"/>
    </row>
    <row r="36" spans="1:9" ht="15.75">
      <c r="A36" s="582" t="s">
        <v>144</v>
      </c>
      <c r="B36" s="706" t="s">
        <v>145</v>
      </c>
      <c r="C36" s="96" t="s">
        <v>146</v>
      </c>
      <c r="D36" s="90"/>
      <c r="E36" s="30">
        <f t="shared" si="0"/>
        <v>0</v>
      </c>
      <c r="F36" s="45"/>
      <c r="G36" s="45"/>
      <c r="H36" s="45"/>
      <c r="I36" s="55"/>
    </row>
    <row r="37" spans="1:9" ht="29.25" customHeight="1">
      <c r="A37" s="582"/>
      <c r="B37" s="707"/>
      <c r="C37" s="90" t="s">
        <v>147</v>
      </c>
      <c r="D37" s="97">
        <v>2.5000000000000001E-2</v>
      </c>
      <c r="E37" s="30">
        <f t="shared" si="0"/>
        <v>0</v>
      </c>
      <c r="F37" s="45"/>
      <c r="G37" s="45"/>
      <c r="H37" s="45"/>
      <c r="I37" s="91"/>
    </row>
    <row r="38" spans="1:9" ht="31.5">
      <c r="A38" s="582"/>
      <c r="B38" s="707"/>
      <c r="C38" s="96" t="s">
        <v>148</v>
      </c>
      <c r="D38" s="90"/>
      <c r="E38" s="30">
        <f t="shared" si="0"/>
        <v>0</v>
      </c>
      <c r="F38" s="45"/>
      <c r="G38" s="45"/>
      <c r="H38" s="45"/>
      <c r="I38" s="93"/>
    </row>
    <row r="39" spans="1:9" ht="15.75">
      <c r="A39" s="582"/>
      <c r="B39" s="707"/>
      <c r="C39" s="90" t="s">
        <v>149</v>
      </c>
      <c r="D39" s="97">
        <v>2.5000000000000001E-2</v>
      </c>
      <c r="E39" s="30">
        <f t="shared" si="0"/>
        <v>0</v>
      </c>
      <c r="F39" s="45"/>
      <c r="G39" s="45"/>
      <c r="H39" s="45"/>
      <c r="I39" s="91"/>
    </row>
    <row r="40" spans="1:9" ht="37.5" customHeight="1">
      <c r="A40" s="582"/>
      <c r="B40" s="707"/>
      <c r="C40" s="90" t="s">
        <v>150</v>
      </c>
      <c r="D40" s="97">
        <v>2.5000000000000001E-2</v>
      </c>
      <c r="E40" s="30">
        <f t="shared" si="0"/>
        <v>0</v>
      </c>
      <c r="F40" s="45"/>
      <c r="G40" s="45"/>
      <c r="H40" s="45"/>
      <c r="I40" s="55"/>
    </row>
    <row r="41" spans="1:9" ht="15.75">
      <c r="A41" s="582"/>
      <c r="B41" s="707"/>
      <c r="C41" s="90" t="s">
        <v>151</v>
      </c>
      <c r="D41" s="97">
        <v>2.5000000000000001E-2</v>
      </c>
      <c r="E41" s="30">
        <f t="shared" si="0"/>
        <v>0</v>
      </c>
      <c r="F41" s="45"/>
      <c r="G41" s="45"/>
      <c r="H41" s="45"/>
      <c r="I41" s="93"/>
    </row>
    <row r="42" spans="1:9" ht="15.75">
      <c r="A42" s="582"/>
      <c r="B42" s="708"/>
      <c r="C42" s="90" t="s">
        <v>152</v>
      </c>
      <c r="D42" s="97">
        <v>2.5000000000000001E-2</v>
      </c>
      <c r="E42" s="30">
        <f t="shared" si="0"/>
        <v>0</v>
      </c>
      <c r="F42" s="45"/>
      <c r="G42" s="45"/>
      <c r="H42" s="45"/>
      <c r="I42" s="93"/>
    </row>
    <row r="43" spans="1:9" ht="47.25">
      <c r="A43" s="582"/>
      <c r="B43" s="698" t="s">
        <v>55</v>
      </c>
      <c r="C43" s="63" t="s">
        <v>57</v>
      </c>
      <c r="D43" s="58">
        <v>5.0000000000000001E-3</v>
      </c>
      <c r="E43" s="30">
        <f t="shared" si="0"/>
        <v>0</v>
      </c>
      <c r="F43" s="45"/>
      <c r="G43" s="45"/>
      <c r="H43" s="45"/>
      <c r="I43" s="55"/>
    </row>
    <row r="44" spans="1:9" ht="31.5">
      <c r="A44" s="582"/>
      <c r="B44" s="709"/>
      <c r="C44" s="63" t="s">
        <v>58</v>
      </c>
      <c r="D44" s="58">
        <v>5.0000000000000001E-3</v>
      </c>
      <c r="E44" s="30">
        <f t="shared" si="0"/>
        <v>0</v>
      </c>
      <c r="F44" s="45"/>
      <c r="G44" s="45"/>
      <c r="H44" s="45"/>
      <c r="I44" s="55"/>
    </row>
    <row r="45" spans="1:9" ht="15.75">
      <c r="A45" s="582"/>
      <c r="B45" s="709"/>
      <c r="C45" s="63" t="s">
        <v>59</v>
      </c>
      <c r="D45" s="58">
        <v>5.0000000000000001E-3</v>
      </c>
      <c r="E45" s="30">
        <f t="shared" si="0"/>
        <v>0</v>
      </c>
      <c r="F45" s="45"/>
      <c r="G45" s="45"/>
      <c r="H45" s="45"/>
      <c r="I45" s="93"/>
    </row>
    <row r="46" spans="1:9" ht="15.75">
      <c r="A46" s="582"/>
      <c r="B46" s="699"/>
      <c r="C46" s="66" t="s">
        <v>60</v>
      </c>
      <c r="D46" s="66"/>
      <c r="E46" s="30">
        <f t="shared" si="0"/>
        <v>0</v>
      </c>
      <c r="F46" s="45"/>
      <c r="G46" s="45"/>
      <c r="H46" s="45"/>
      <c r="I46" s="93"/>
    </row>
    <row r="47" spans="1:9" ht="31.5">
      <c r="A47" s="582"/>
      <c r="B47" s="710" t="s">
        <v>61</v>
      </c>
      <c r="C47" s="71" t="s">
        <v>153</v>
      </c>
      <c r="D47" s="98">
        <v>0.01</v>
      </c>
      <c r="E47" s="30">
        <f t="shared" ref="E47:E78" si="1">IF(COUNTA(F47:H47)&gt;1, "PORFAVOR MARQUE UNA SOLA OPCION", IF(OR(F47&lt;&gt;"", H47&lt;&gt;""), D47, IF(G47&lt;&gt;"", 0, 0)))</f>
        <v>0</v>
      </c>
      <c r="F47" s="45"/>
      <c r="G47" s="45"/>
      <c r="H47" s="45"/>
      <c r="I47" s="12"/>
    </row>
    <row r="48" spans="1:9" ht="15.75">
      <c r="A48" s="582"/>
      <c r="B48" s="710"/>
      <c r="C48" s="71" t="s">
        <v>63</v>
      </c>
      <c r="D48" s="98">
        <v>0.01</v>
      </c>
      <c r="E48" s="30">
        <f t="shared" si="1"/>
        <v>0</v>
      </c>
      <c r="F48" s="45"/>
      <c r="G48" s="45"/>
      <c r="H48" s="45"/>
      <c r="I48" s="99"/>
    </row>
    <row r="49" spans="1:9" ht="15.75">
      <c r="A49" s="582"/>
      <c r="B49" s="710"/>
      <c r="C49" s="71" t="s">
        <v>64</v>
      </c>
      <c r="D49" s="98">
        <v>0.01</v>
      </c>
      <c r="E49" s="30">
        <f t="shared" si="1"/>
        <v>0</v>
      </c>
      <c r="F49" s="45"/>
      <c r="G49" s="45"/>
      <c r="H49" s="45"/>
      <c r="I49" s="12"/>
    </row>
    <row r="50" spans="1:9" ht="15.75">
      <c r="A50" s="582"/>
      <c r="B50" s="710" t="s">
        <v>65</v>
      </c>
      <c r="C50" s="71" t="s">
        <v>66</v>
      </c>
      <c r="D50" s="98">
        <v>0.01</v>
      </c>
      <c r="E50" s="30">
        <f t="shared" si="1"/>
        <v>0</v>
      </c>
      <c r="F50" s="45"/>
      <c r="G50" s="45"/>
      <c r="H50" s="45"/>
      <c r="I50" s="3"/>
    </row>
    <row r="51" spans="1:9" ht="63">
      <c r="A51" s="582"/>
      <c r="B51" s="710"/>
      <c r="C51" s="71" t="s">
        <v>154</v>
      </c>
      <c r="D51" s="98">
        <v>0.01</v>
      </c>
      <c r="E51" s="30">
        <f t="shared" si="1"/>
        <v>0</v>
      </c>
      <c r="F51" s="45"/>
      <c r="G51" s="45"/>
      <c r="H51" s="45"/>
      <c r="I51" s="12"/>
    </row>
    <row r="52" spans="1:9" ht="15.75">
      <c r="A52" s="582"/>
      <c r="B52" s="698" t="s">
        <v>68</v>
      </c>
      <c r="C52" s="71" t="s">
        <v>69</v>
      </c>
      <c r="D52" s="58">
        <v>5.0000000000000001E-3</v>
      </c>
      <c r="E52" s="30">
        <f t="shared" si="1"/>
        <v>0</v>
      </c>
      <c r="F52" s="45"/>
      <c r="G52" s="45"/>
      <c r="H52" s="45"/>
      <c r="I52" s="12"/>
    </row>
    <row r="53" spans="1:9" ht="31.5">
      <c r="A53" s="582"/>
      <c r="B53" s="709"/>
      <c r="C53" s="71" t="s">
        <v>155</v>
      </c>
      <c r="D53" s="58">
        <v>5.0000000000000001E-3</v>
      </c>
      <c r="E53" s="30">
        <f t="shared" si="1"/>
        <v>0</v>
      </c>
      <c r="F53" s="45"/>
      <c r="G53" s="45"/>
      <c r="H53" s="45"/>
      <c r="I53" s="12"/>
    </row>
    <row r="54" spans="1:9" ht="31.5">
      <c r="A54" s="582"/>
      <c r="B54" s="709"/>
      <c r="C54" s="71" t="s">
        <v>71</v>
      </c>
      <c r="D54" s="58">
        <v>5.0000000000000001E-3</v>
      </c>
      <c r="E54" s="30">
        <f t="shared" si="1"/>
        <v>0</v>
      </c>
      <c r="F54" s="45"/>
      <c r="G54" s="45"/>
      <c r="H54" s="45"/>
      <c r="I54" s="12"/>
    </row>
    <row r="55" spans="1:9" ht="31.5">
      <c r="A55" s="582"/>
      <c r="B55" s="699"/>
      <c r="C55" s="71" t="s">
        <v>72</v>
      </c>
      <c r="D55" s="58">
        <v>5.0000000000000001E-3</v>
      </c>
      <c r="E55" s="30">
        <f t="shared" si="1"/>
        <v>0</v>
      </c>
      <c r="F55" s="45"/>
      <c r="G55" s="45"/>
      <c r="H55" s="45"/>
      <c r="I55" s="91"/>
    </row>
    <row r="56" spans="1:9" ht="31.5">
      <c r="A56" s="582"/>
      <c r="B56" s="698" t="s">
        <v>73</v>
      </c>
      <c r="C56" s="90" t="s">
        <v>74</v>
      </c>
      <c r="D56" s="98">
        <v>0.01</v>
      </c>
      <c r="E56" s="30">
        <f t="shared" si="1"/>
        <v>0</v>
      </c>
      <c r="F56" s="45"/>
      <c r="G56" s="45"/>
      <c r="H56" s="45"/>
      <c r="I56" s="100"/>
    </row>
    <row r="57" spans="1:9" ht="15.75">
      <c r="A57" s="582"/>
      <c r="B57" s="709"/>
      <c r="C57" s="63" t="s">
        <v>75</v>
      </c>
      <c r="D57" s="98">
        <v>0.01</v>
      </c>
      <c r="E57" s="30">
        <f t="shared" si="1"/>
        <v>0</v>
      </c>
      <c r="F57" s="45"/>
      <c r="G57" s="45"/>
      <c r="H57" s="45"/>
      <c r="I57" s="100"/>
    </row>
    <row r="58" spans="1:9" ht="15.75">
      <c r="A58" s="582"/>
      <c r="B58" s="709"/>
      <c r="C58" s="63" t="s">
        <v>76</v>
      </c>
      <c r="D58" s="98">
        <v>0.01</v>
      </c>
      <c r="E58" s="30">
        <f t="shared" si="1"/>
        <v>0</v>
      </c>
      <c r="F58" s="45"/>
      <c r="G58" s="45"/>
      <c r="H58" s="45"/>
      <c r="I58" s="100"/>
    </row>
    <row r="59" spans="1:9" ht="15.75">
      <c r="A59" s="582"/>
      <c r="B59" s="709"/>
      <c r="C59" s="66" t="s">
        <v>77</v>
      </c>
      <c r="D59" s="66"/>
      <c r="E59" s="30">
        <f t="shared" si="1"/>
        <v>0</v>
      </c>
      <c r="F59" s="45"/>
      <c r="G59" s="45"/>
      <c r="H59" s="45"/>
      <c r="I59" s="36"/>
    </row>
    <row r="60" spans="1:9" ht="15.75">
      <c r="A60" s="582"/>
      <c r="B60" s="709"/>
      <c r="C60" s="66" t="s">
        <v>78</v>
      </c>
      <c r="D60" s="66"/>
      <c r="E60" s="30">
        <f t="shared" si="1"/>
        <v>0</v>
      </c>
      <c r="F60" s="45"/>
      <c r="G60" s="45"/>
      <c r="H60" s="45"/>
      <c r="I60" s="36"/>
    </row>
    <row r="61" spans="1:9" ht="47.25">
      <c r="A61" s="582"/>
      <c r="B61" s="709"/>
      <c r="C61" s="90" t="s">
        <v>79</v>
      </c>
      <c r="D61" s="98">
        <v>0.01</v>
      </c>
      <c r="E61" s="30">
        <f t="shared" si="1"/>
        <v>0</v>
      </c>
      <c r="F61" s="45"/>
      <c r="G61" s="45"/>
      <c r="H61" s="45"/>
      <c r="I61" s="12"/>
    </row>
    <row r="62" spans="1:9" ht="31.5">
      <c r="A62" s="582"/>
      <c r="B62" s="709"/>
      <c r="C62" s="90" t="s">
        <v>156</v>
      </c>
      <c r="D62" s="98">
        <v>0.01</v>
      </c>
      <c r="E62" s="30">
        <f t="shared" si="1"/>
        <v>0</v>
      </c>
      <c r="F62" s="45"/>
      <c r="G62" s="45"/>
      <c r="H62" s="45"/>
      <c r="I62" s="36"/>
    </row>
    <row r="63" spans="1:9" ht="34.5" customHeight="1">
      <c r="A63" s="582"/>
      <c r="B63" s="709"/>
      <c r="C63" s="90" t="s">
        <v>80</v>
      </c>
      <c r="D63" s="98">
        <v>0.01</v>
      </c>
      <c r="E63" s="30">
        <f t="shared" si="1"/>
        <v>0</v>
      </c>
      <c r="F63" s="45"/>
      <c r="G63" s="45"/>
      <c r="H63" s="45"/>
      <c r="I63" s="12"/>
    </row>
    <row r="64" spans="1:9" ht="34.5" customHeight="1">
      <c r="A64" s="582"/>
      <c r="B64" s="699"/>
      <c r="C64" s="90" t="s">
        <v>157</v>
      </c>
      <c r="D64" s="98">
        <v>0.01</v>
      </c>
      <c r="E64" s="30">
        <f t="shared" si="1"/>
        <v>0</v>
      </c>
      <c r="F64" s="45"/>
      <c r="G64" s="45"/>
      <c r="H64" s="45"/>
      <c r="I64" s="12"/>
    </row>
    <row r="65" spans="1:9" ht="15.75">
      <c r="A65" s="582"/>
      <c r="B65" s="692" t="s">
        <v>81</v>
      </c>
      <c r="C65" s="88" t="s">
        <v>158</v>
      </c>
      <c r="D65" s="43">
        <v>1.4999999999999999E-2</v>
      </c>
      <c r="E65" s="30">
        <f t="shared" si="1"/>
        <v>0</v>
      </c>
      <c r="F65" s="45"/>
      <c r="G65" s="45"/>
      <c r="H65" s="45"/>
      <c r="I65" s="3"/>
    </row>
    <row r="66" spans="1:9" ht="15.75">
      <c r="A66" s="582"/>
      <c r="B66" s="693"/>
      <c r="C66" s="88" t="s">
        <v>159</v>
      </c>
      <c r="D66" s="43">
        <v>1.4999999999999999E-2</v>
      </c>
      <c r="E66" s="30">
        <f t="shared" si="1"/>
        <v>0</v>
      </c>
      <c r="F66" s="45"/>
      <c r="G66" s="45"/>
      <c r="H66" s="45"/>
      <c r="I66" s="3"/>
    </row>
    <row r="67" spans="1:9" ht="15.75">
      <c r="A67" s="582"/>
      <c r="B67" s="693"/>
      <c r="C67" s="88" t="s">
        <v>160</v>
      </c>
      <c r="D67" s="43">
        <v>1.4999999999999999E-2</v>
      </c>
      <c r="E67" s="30">
        <f t="shared" si="1"/>
        <v>0</v>
      </c>
      <c r="F67" s="45"/>
      <c r="G67" s="45"/>
      <c r="H67" s="45"/>
      <c r="I67" s="3"/>
    </row>
    <row r="68" spans="1:9" ht="15.75">
      <c r="A68" s="582"/>
      <c r="B68" s="698" t="s">
        <v>85</v>
      </c>
      <c r="C68" s="88" t="s">
        <v>161</v>
      </c>
      <c r="D68" s="43">
        <v>1.4999999999999999E-2</v>
      </c>
      <c r="E68" s="30">
        <f t="shared" si="1"/>
        <v>0</v>
      </c>
      <c r="F68" s="45"/>
      <c r="G68" s="45"/>
      <c r="H68" s="45"/>
      <c r="I68" s="73"/>
    </row>
    <row r="69" spans="1:9" ht="15.75">
      <c r="A69" s="582"/>
      <c r="B69" s="709"/>
      <c r="C69" s="88" t="s">
        <v>87</v>
      </c>
      <c r="D69" s="43">
        <v>1.4999999999999999E-2</v>
      </c>
      <c r="E69" s="30">
        <f t="shared" si="1"/>
        <v>0</v>
      </c>
      <c r="F69" s="45"/>
      <c r="G69" s="45"/>
      <c r="H69" s="45"/>
      <c r="I69" s="12"/>
    </row>
    <row r="70" spans="1:9" ht="15.75">
      <c r="A70" s="582"/>
      <c r="B70" s="699"/>
      <c r="C70" s="88" t="s">
        <v>162</v>
      </c>
      <c r="D70" s="43">
        <v>1.4999999999999999E-2</v>
      </c>
      <c r="E70" s="30">
        <f t="shared" si="1"/>
        <v>0</v>
      </c>
      <c r="F70" s="45"/>
      <c r="G70" s="45"/>
      <c r="H70" s="45"/>
      <c r="I70" s="12"/>
    </row>
    <row r="71" spans="1:9" ht="47.25">
      <c r="A71" s="582"/>
      <c r="B71" s="696" t="s">
        <v>88</v>
      </c>
      <c r="C71" s="88" t="s">
        <v>89</v>
      </c>
      <c r="D71" s="98">
        <v>0.01</v>
      </c>
      <c r="E71" s="30">
        <f t="shared" si="1"/>
        <v>0</v>
      </c>
      <c r="F71" s="45"/>
      <c r="G71" s="45"/>
      <c r="H71" s="45"/>
      <c r="I71" s="73"/>
    </row>
    <row r="72" spans="1:9" ht="31.5">
      <c r="A72" s="582"/>
      <c r="B72" s="697"/>
      <c r="C72" s="88" t="s">
        <v>90</v>
      </c>
      <c r="D72" s="58">
        <v>5.0000000000000001E-3</v>
      </c>
      <c r="E72" s="30">
        <f t="shared" si="1"/>
        <v>0</v>
      </c>
      <c r="F72" s="45"/>
      <c r="G72" s="45"/>
      <c r="H72" s="45"/>
      <c r="I72" s="12"/>
    </row>
    <row r="73" spans="1:9" ht="47.25">
      <c r="A73" s="582"/>
      <c r="B73" s="74" t="s">
        <v>91</v>
      </c>
      <c r="C73" s="88" t="s">
        <v>92</v>
      </c>
      <c r="D73" s="58">
        <v>5.0000000000000001E-3</v>
      </c>
      <c r="E73" s="30">
        <f t="shared" si="1"/>
        <v>0</v>
      </c>
      <c r="F73" s="45"/>
      <c r="G73" s="45"/>
      <c r="H73" s="45"/>
      <c r="I73" s="36"/>
    </row>
    <row r="74" spans="1:9" ht="31.5">
      <c r="A74" s="582"/>
      <c r="B74" s="74" t="s">
        <v>93</v>
      </c>
      <c r="C74" s="88" t="s">
        <v>163</v>
      </c>
      <c r="D74" s="98">
        <v>0.01</v>
      </c>
      <c r="E74" s="30">
        <f t="shared" si="1"/>
        <v>0</v>
      </c>
      <c r="F74" s="45"/>
      <c r="G74" s="45"/>
      <c r="H74" s="45"/>
      <c r="I74" s="99"/>
    </row>
    <row r="75" spans="1:9" ht="15.75">
      <c r="A75" s="582"/>
      <c r="B75" s="698" t="s">
        <v>95</v>
      </c>
      <c r="C75" s="88" t="s">
        <v>164</v>
      </c>
      <c r="D75" s="58">
        <v>5.0000000000000001E-3</v>
      </c>
      <c r="E75" s="30">
        <f t="shared" si="1"/>
        <v>0</v>
      </c>
      <c r="F75" s="45"/>
      <c r="G75" s="45"/>
      <c r="H75" s="45"/>
      <c r="I75" s="12"/>
    </row>
    <row r="76" spans="1:9" ht="15.75">
      <c r="A76" s="583"/>
      <c r="B76" s="699"/>
      <c r="C76" s="88" t="s">
        <v>96</v>
      </c>
      <c r="D76" s="98">
        <v>0.01</v>
      </c>
      <c r="E76" s="30">
        <f t="shared" si="1"/>
        <v>0</v>
      </c>
      <c r="F76" s="45"/>
      <c r="G76" s="45"/>
      <c r="H76" s="45"/>
      <c r="I76" s="12"/>
    </row>
    <row r="77" spans="1:9" ht="42" customHeight="1">
      <c r="A77" s="101" t="s">
        <v>97</v>
      </c>
      <c r="B77" s="700" t="s">
        <v>99</v>
      </c>
      <c r="C77" s="701"/>
      <c r="D77" s="43">
        <v>1.4999999999999999E-2</v>
      </c>
      <c r="E77" s="30">
        <f t="shared" si="1"/>
        <v>0</v>
      </c>
      <c r="F77" s="45"/>
      <c r="G77" s="45"/>
      <c r="H77" s="45"/>
      <c r="I77" s="12"/>
    </row>
    <row r="78" spans="1:9" ht="15.75">
      <c r="A78" s="581" t="s">
        <v>100</v>
      </c>
      <c r="B78" s="702" t="s">
        <v>101</v>
      </c>
      <c r="C78" s="703"/>
      <c r="D78" s="102"/>
      <c r="E78" s="30">
        <f t="shared" si="1"/>
        <v>0</v>
      </c>
      <c r="F78" s="45"/>
      <c r="G78" s="45"/>
      <c r="H78" s="45"/>
      <c r="I78" s="12"/>
    </row>
    <row r="79" spans="1:9" ht="15.75">
      <c r="A79" s="582"/>
      <c r="B79" s="704" t="s">
        <v>102</v>
      </c>
      <c r="C79" s="705"/>
      <c r="D79" s="103"/>
      <c r="E79" s="30">
        <f t="shared" ref="E79:E110" si="2">IF(COUNTA(F79:H79)&gt;1, "PORFAVOR MARQUE UNA SOLA OPCION", IF(OR(F79&lt;&gt;"", H79&lt;&gt;""), D79, IF(G79&lt;&gt;"", 0, 0)))</f>
        <v>0</v>
      </c>
      <c r="F79" s="45"/>
      <c r="G79" s="45"/>
      <c r="H79" s="45"/>
      <c r="I79" s="12"/>
    </row>
    <row r="80" spans="1:9" ht="15.75">
      <c r="A80" s="582"/>
      <c r="B80" s="600" t="s">
        <v>165</v>
      </c>
      <c r="C80" s="695"/>
      <c r="D80" s="43">
        <v>1.4999999999999999E-2</v>
      </c>
      <c r="E80" s="30">
        <f t="shared" si="2"/>
        <v>0</v>
      </c>
      <c r="F80" s="45"/>
      <c r="G80" s="45"/>
      <c r="H80" s="45"/>
      <c r="I80" s="12"/>
    </row>
    <row r="81" spans="1:9" ht="15.75">
      <c r="A81" s="582"/>
      <c r="B81" s="600" t="s">
        <v>166</v>
      </c>
      <c r="C81" s="695"/>
      <c r="D81" s="43">
        <v>1.4999999999999999E-2</v>
      </c>
      <c r="E81" s="30">
        <f t="shared" si="2"/>
        <v>0</v>
      </c>
      <c r="F81" s="45"/>
      <c r="G81" s="45"/>
      <c r="H81" s="45"/>
      <c r="I81" s="12"/>
    </row>
    <row r="82" spans="1:9" ht="30" customHeight="1">
      <c r="A82" s="582"/>
      <c r="B82" s="600" t="s">
        <v>167</v>
      </c>
      <c r="C82" s="695"/>
      <c r="D82" s="43">
        <v>1.4999999999999999E-2</v>
      </c>
      <c r="E82" s="30">
        <f t="shared" si="2"/>
        <v>0</v>
      </c>
      <c r="F82" s="45"/>
      <c r="G82" s="45"/>
      <c r="H82" s="45"/>
      <c r="I82" s="12"/>
    </row>
    <row r="83" spans="1:9" ht="15.75">
      <c r="A83" s="582"/>
      <c r="B83" s="600" t="s">
        <v>168</v>
      </c>
      <c r="C83" s="695"/>
      <c r="D83" s="43">
        <v>1.4999999999999999E-2</v>
      </c>
      <c r="E83" s="30">
        <f t="shared" si="2"/>
        <v>0</v>
      </c>
      <c r="F83" s="45"/>
      <c r="G83" s="45"/>
      <c r="H83" s="45"/>
      <c r="I83" s="12"/>
    </row>
    <row r="84" spans="1:9" ht="15.75">
      <c r="A84" s="582"/>
      <c r="B84" s="600" t="s">
        <v>169</v>
      </c>
      <c r="C84" s="695"/>
      <c r="D84" s="43">
        <v>1.4999999999999999E-2</v>
      </c>
      <c r="E84" s="30">
        <f t="shared" si="2"/>
        <v>0</v>
      </c>
      <c r="F84" s="45"/>
      <c r="G84" s="45"/>
      <c r="H84" s="45"/>
      <c r="I84" s="12"/>
    </row>
    <row r="85" spans="1:9" ht="15.75">
      <c r="A85" s="582"/>
      <c r="B85" s="600" t="s">
        <v>170</v>
      </c>
      <c r="C85" s="695"/>
      <c r="D85" s="43">
        <v>1.4999999999999999E-2</v>
      </c>
      <c r="E85" s="30">
        <f t="shared" si="2"/>
        <v>0</v>
      </c>
      <c r="F85" s="45"/>
      <c r="G85" s="45"/>
      <c r="H85" s="45"/>
      <c r="I85" s="99"/>
    </row>
    <row r="86" spans="1:9" ht="15.75">
      <c r="A86" s="582"/>
      <c r="B86" s="600" t="s">
        <v>171</v>
      </c>
      <c r="C86" s="695"/>
      <c r="D86" s="43">
        <v>1.4999999999999999E-2</v>
      </c>
      <c r="E86" s="30">
        <f t="shared" si="2"/>
        <v>0</v>
      </c>
      <c r="F86" s="45"/>
      <c r="G86" s="45"/>
      <c r="H86" s="45"/>
      <c r="I86" s="12"/>
    </row>
    <row r="87" spans="1:9" ht="15.75">
      <c r="A87" s="582"/>
      <c r="B87" s="600" t="s">
        <v>172</v>
      </c>
      <c r="C87" s="695"/>
      <c r="D87" s="43">
        <v>1.4999999999999999E-2</v>
      </c>
      <c r="E87" s="30">
        <f t="shared" si="2"/>
        <v>0</v>
      </c>
      <c r="F87" s="45"/>
      <c r="G87" s="45"/>
      <c r="H87" s="45"/>
      <c r="I87" s="12"/>
    </row>
    <row r="88" spans="1:9" ht="15.75">
      <c r="A88" s="582"/>
      <c r="B88" s="600" t="s">
        <v>173</v>
      </c>
      <c r="C88" s="695"/>
      <c r="D88" s="43">
        <v>1.4999999999999999E-2</v>
      </c>
      <c r="E88" s="30">
        <f t="shared" si="2"/>
        <v>0</v>
      </c>
      <c r="F88" s="45"/>
      <c r="G88" s="45"/>
      <c r="H88" s="45"/>
      <c r="I88" s="99"/>
    </row>
    <row r="89" spans="1:9" ht="15.75">
      <c r="A89" s="582"/>
      <c r="B89" s="600" t="s">
        <v>174</v>
      </c>
      <c r="C89" s="695"/>
      <c r="D89" s="43">
        <v>1.4999999999999999E-2</v>
      </c>
      <c r="E89" s="30">
        <f t="shared" si="2"/>
        <v>0</v>
      </c>
      <c r="F89" s="45"/>
      <c r="G89" s="45"/>
      <c r="H89" s="45"/>
      <c r="I89" s="12"/>
    </row>
    <row r="90" spans="1:9" ht="15.75">
      <c r="A90" s="582"/>
      <c r="B90" s="600" t="s">
        <v>175</v>
      </c>
      <c r="C90" s="695"/>
      <c r="D90" s="43">
        <v>1.4999999999999999E-2</v>
      </c>
      <c r="E90" s="30">
        <f t="shared" si="2"/>
        <v>0</v>
      </c>
      <c r="F90" s="45"/>
      <c r="G90" s="45"/>
      <c r="H90" s="45"/>
      <c r="I90" s="12"/>
    </row>
    <row r="91" spans="1:9" ht="15.75">
      <c r="A91" s="582"/>
      <c r="B91" s="600" t="s">
        <v>176</v>
      </c>
      <c r="C91" s="695"/>
      <c r="D91" s="43">
        <v>1.4999999999999999E-2</v>
      </c>
      <c r="E91" s="30">
        <f t="shared" si="2"/>
        <v>0</v>
      </c>
      <c r="F91" s="45"/>
      <c r="G91" s="45"/>
      <c r="H91" s="45"/>
      <c r="I91" s="99"/>
    </row>
    <row r="92" spans="1:9" ht="15.75">
      <c r="A92" s="582"/>
      <c r="B92" s="600" t="s">
        <v>177</v>
      </c>
      <c r="C92" s="695"/>
      <c r="D92" s="43">
        <v>1.4999999999999999E-2</v>
      </c>
      <c r="E92" s="30">
        <f t="shared" si="2"/>
        <v>0</v>
      </c>
      <c r="F92" s="45"/>
      <c r="G92" s="45"/>
      <c r="H92" s="45"/>
      <c r="I92" s="12"/>
    </row>
    <row r="93" spans="1:9" ht="15.75">
      <c r="A93" s="582"/>
      <c r="B93" s="600" t="s">
        <v>178</v>
      </c>
      <c r="C93" s="695"/>
      <c r="D93" s="43">
        <v>1.4999999999999999E-2</v>
      </c>
      <c r="E93" s="30">
        <f t="shared" si="2"/>
        <v>0</v>
      </c>
      <c r="F93" s="45"/>
      <c r="G93" s="45"/>
      <c r="H93" s="45"/>
      <c r="I93" s="12"/>
    </row>
    <row r="94" spans="1:9" ht="36" customHeight="1">
      <c r="A94" s="582"/>
      <c r="B94" s="600" t="s">
        <v>179</v>
      </c>
      <c r="C94" s="695"/>
      <c r="D94" s="98">
        <v>0.01</v>
      </c>
      <c r="E94" s="30">
        <f t="shared" si="2"/>
        <v>0</v>
      </c>
      <c r="F94" s="45"/>
      <c r="G94" s="45"/>
      <c r="H94" s="45"/>
      <c r="I94" s="12"/>
    </row>
    <row r="95" spans="1:9" ht="52.9" customHeight="1">
      <c r="A95" s="582"/>
      <c r="B95" s="587" t="s">
        <v>118</v>
      </c>
      <c r="C95" s="689"/>
      <c r="D95" s="57">
        <v>0.01</v>
      </c>
      <c r="E95" s="30">
        <f t="shared" si="2"/>
        <v>0</v>
      </c>
      <c r="F95" s="45"/>
      <c r="G95" s="45"/>
      <c r="H95" s="45"/>
      <c r="I95" s="99"/>
    </row>
    <row r="96" spans="1:9" ht="15.75">
      <c r="A96" s="582"/>
      <c r="B96" s="690" t="s">
        <v>119</v>
      </c>
      <c r="C96" s="691"/>
      <c r="D96" s="57">
        <v>0.01</v>
      </c>
      <c r="E96" s="30">
        <f t="shared" si="2"/>
        <v>0</v>
      </c>
      <c r="F96" s="45"/>
      <c r="G96" s="45"/>
      <c r="H96" s="45"/>
      <c r="I96" s="73"/>
    </row>
    <row r="97" spans="1:9" ht="15.75">
      <c r="A97" s="582"/>
      <c r="B97" s="690" t="s">
        <v>120</v>
      </c>
      <c r="C97" s="691"/>
      <c r="D97" s="57">
        <v>0.01</v>
      </c>
      <c r="E97" s="30">
        <f t="shared" si="2"/>
        <v>0</v>
      </c>
      <c r="F97" s="45"/>
      <c r="G97" s="45"/>
      <c r="H97" s="45"/>
      <c r="I97" s="12"/>
    </row>
    <row r="98" spans="1:9" ht="15.75">
      <c r="A98" s="583"/>
      <c r="B98" s="690" t="s">
        <v>121</v>
      </c>
      <c r="C98" s="691"/>
      <c r="D98" s="43">
        <v>1.4999999999999999E-2</v>
      </c>
      <c r="E98" s="30">
        <f t="shared" si="2"/>
        <v>0</v>
      </c>
      <c r="F98" s="45"/>
      <c r="G98" s="45"/>
      <c r="H98" s="45"/>
      <c r="I98" s="12"/>
    </row>
    <row r="99" spans="1:9" ht="15.75">
      <c r="A99" s="692" t="s">
        <v>122</v>
      </c>
      <c r="B99" s="596" t="s">
        <v>123</v>
      </c>
      <c r="C99" s="597"/>
      <c r="D99" s="98">
        <v>0.01</v>
      </c>
      <c r="E99" s="30">
        <f t="shared" si="2"/>
        <v>0</v>
      </c>
      <c r="F99" s="45"/>
      <c r="G99" s="45"/>
      <c r="H99" s="45"/>
      <c r="I99" s="79"/>
    </row>
    <row r="100" spans="1:9" ht="15.75">
      <c r="A100" s="693"/>
      <c r="B100" s="596" t="s">
        <v>124</v>
      </c>
      <c r="C100" s="597"/>
      <c r="D100" s="98">
        <v>0.01</v>
      </c>
      <c r="E100" s="30">
        <f t="shared" si="2"/>
        <v>0</v>
      </c>
      <c r="F100" s="45"/>
      <c r="G100" s="45"/>
      <c r="H100" s="45"/>
      <c r="I100" s="79"/>
    </row>
    <row r="101" spans="1:9" ht="15.75">
      <c r="A101" s="693"/>
      <c r="B101" s="687" t="s">
        <v>125</v>
      </c>
      <c r="C101" s="688"/>
      <c r="D101" s="98">
        <v>0.01</v>
      </c>
      <c r="E101" s="30">
        <f t="shared" si="2"/>
        <v>0</v>
      </c>
      <c r="F101" s="45"/>
      <c r="G101" s="45"/>
      <c r="H101" s="45"/>
      <c r="I101" s="79"/>
    </row>
    <row r="102" spans="1:9" ht="15.75">
      <c r="A102" s="693"/>
      <c r="B102" s="596" t="s">
        <v>126</v>
      </c>
      <c r="C102" s="597"/>
      <c r="D102" s="98">
        <v>0.01</v>
      </c>
      <c r="E102" s="30">
        <f t="shared" si="2"/>
        <v>0</v>
      </c>
      <c r="F102" s="45"/>
      <c r="G102" s="45"/>
      <c r="H102" s="45"/>
      <c r="I102" s="79"/>
    </row>
    <row r="103" spans="1:9" ht="15.75">
      <c r="A103" s="693"/>
      <c r="B103" s="596" t="s">
        <v>127</v>
      </c>
      <c r="C103" s="597"/>
      <c r="D103" s="98">
        <v>0.01</v>
      </c>
      <c r="E103" s="30">
        <f t="shared" si="2"/>
        <v>0</v>
      </c>
      <c r="F103" s="45"/>
      <c r="G103" s="45"/>
      <c r="H103" s="45"/>
      <c r="I103" s="79"/>
    </row>
    <row r="104" spans="1:9" ht="15.75">
      <c r="A104" s="693"/>
      <c r="B104" s="596" t="s">
        <v>128</v>
      </c>
      <c r="C104" s="597"/>
      <c r="D104" s="98">
        <v>0.01</v>
      </c>
      <c r="E104" s="30">
        <f t="shared" si="2"/>
        <v>0</v>
      </c>
      <c r="F104" s="45"/>
      <c r="G104" s="45"/>
      <c r="H104" s="45"/>
      <c r="I104" s="79"/>
    </row>
    <row r="105" spans="1:9" ht="15.75">
      <c r="A105" s="693"/>
      <c r="B105" s="596" t="s">
        <v>129</v>
      </c>
      <c r="C105" s="597"/>
      <c r="D105" s="98">
        <v>0.01</v>
      </c>
      <c r="E105" s="30">
        <f t="shared" si="2"/>
        <v>0</v>
      </c>
      <c r="F105" s="45"/>
      <c r="G105" s="45"/>
      <c r="H105" s="45"/>
      <c r="I105" s="79"/>
    </row>
    <row r="106" spans="1:9" ht="14.45" customHeight="1">
      <c r="A106" s="693"/>
      <c r="B106" s="596" t="s">
        <v>130</v>
      </c>
      <c r="C106" s="597"/>
      <c r="D106" s="98">
        <v>0.01</v>
      </c>
      <c r="E106" s="30">
        <f t="shared" si="2"/>
        <v>0</v>
      </c>
      <c r="F106" s="45"/>
      <c r="G106" s="45"/>
      <c r="H106" s="45"/>
      <c r="I106" s="79"/>
    </row>
    <row r="107" spans="1:9" ht="15.75">
      <c r="A107" s="693"/>
      <c r="B107" s="596" t="s">
        <v>131</v>
      </c>
      <c r="C107" s="597"/>
      <c r="D107" s="98">
        <v>0.01</v>
      </c>
      <c r="E107" s="30">
        <f t="shared" si="2"/>
        <v>0</v>
      </c>
      <c r="F107" s="45"/>
      <c r="G107" s="45"/>
      <c r="H107" s="45"/>
      <c r="I107" s="79"/>
    </row>
    <row r="108" spans="1:9" ht="15.75">
      <c r="A108" s="693"/>
      <c r="B108" s="596" t="s">
        <v>132</v>
      </c>
      <c r="C108" s="597"/>
      <c r="D108" s="98">
        <v>0.01</v>
      </c>
      <c r="E108" s="30">
        <f t="shared" si="2"/>
        <v>0</v>
      </c>
      <c r="F108" s="45"/>
      <c r="G108" s="45"/>
      <c r="H108" s="45"/>
      <c r="I108" s="79"/>
    </row>
    <row r="109" spans="1:9" ht="15.75">
      <c r="A109" s="694"/>
      <c r="B109" s="596" t="s">
        <v>133</v>
      </c>
      <c r="C109" s="597"/>
      <c r="D109" s="98">
        <v>0.01</v>
      </c>
      <c r="E109" s="30">
        <f t="shared" si="2"/>
        <v>0</v>
      </c>
      <c r="F109" s="45"/>
      <c r="G109" s="45"/>
      <c r="H109" s="45"/>
      <c r="I109" s="79"/>
    </row>
    <row r="110" spans="1:9" ht="19.5" customHeight="1">
      <c r="A110" s="610" t="s">
        <v>14</v>
      </c>
      <c r="B110" s="610"/>
      <c r="C110" s="611"/>
      <c r="D110" s="80">
        <f>SUM(D15:D109)</f>
        <v>1.0000000000000007</v>
      </c>
      <c r="E110" s="80"/>
      <c r="F110" s="22">
        <f>COUNT(F15:F109)</f>
        <v>0</v>
      </c>
      <c r="G110" s="22">
        <f>COUNT(G15:G109)</f>
        <v>0</v>
      </c>
      <c r="H110" s="22">
        <f>COUNT(H15:H109)</f>
        <v>0</v>
      </c>
      <c r="I110" s="105"/>
    </row>
    <row r="111" spans="1:9" ht="15">
      <c r="A111" s="680"/>
      <c r="B111" s="680"/>
      <c r="C111" s="672"/>
      <c r="D111" s="82"/>
      <c r="E111" s="82"/>
      <c r="F111" s="607">
        <f>IFERROR((F110/((F110+G110+H110)-H110)),0)</f>
        <v>0</v>
      </c>
      <c r="G111" s="608"/>
      <c r="H111" s="609"/>
    </row>
    <row r="112" spans="1:9" ht="15">
      <c r="A112" s="106"/>
      <c r="B112" s="106"/>
      <c r="C112" s="106"/>
      <c r="D112" s="107"/>
      <c r="E112" s="107"/>
      <c r="F112" s="108"/>
      <c r="G112" s="108"/>
      <c r="H112" s="109"/>
    </row>
    <row r="113" spans="1:8" ht="15">
      <c r="A113" s="106"/>
      <c r="B113" s="106"/>
      <c r="C113" s="106"/>
      <c r="D113" s="107"/>
      <c r="E113" s="107"/>
      <c r="F113" s="108"/>
      <c r="G113" s="108"/>
      <c r="H113" s="109"/>
    </row>
    <row r="114" spans="1:8" ht="15.75">
      <c r="A114" s="15" t="s">
        <v>20</v>
      </c>
      <c r="B114" s="16" t="s">
        <v>15</v>
      </c>
      <c r="C114" s="24"/>
      <c r="D114" s="25"/>
      <c r="E114" s="25"/>
      <c r="F114" s="25"/>
      <c r="G114" s="25"/>
      <c r="H114" s="26"/>
    </row>
    <row r="115" spans="1:8" ht="15.75">
      <c r="A115" s="17" t="s">
        <v>21</v>
      </c>
      <c r="B115" s="475" t="s">
        <v>22</v>
      </c>
      <c r="C115" s="476"/>
      <c r="D115" s="476"/>
      <c r="E115" s="476"/>
      <c r="F115" s="476"/>
      <c r="G115" s="476"/>
      <c r="H115" s="476"/>
    </row>
    <row r="116" spans="1:8" ht="15.75">
      <c r="A116" s="18" t="s">
        <v>23</v>
      </c>
      <c r="B116" s="475" t="s">
        <v>16</v>
      </c>
      <c r="C116" s="475"/>
      <c r="D116" s="475"/>
      <c r="E116" s="475"/>
      <c r="F116" s="475"/>
      <c r="G116" s="475"/>
      <c r="H116" s="475"/>
    </row>
    <row r="117" spans="1:8" ht="15.75">
      <c r="A117" s="19" t="s">
        <v>17</v>
      </c>
      <c r="B117" s="475" t="s">
        <v>18</v>
      </c>
      <c r="C117" s="475"/>
      <c r="D117" s="475"/>
      <c r="E117" s="475"/>
      <c r="F117" s="475"/>
      <c r="G117" s="475"/>
      <c r="H117" s="475"/>
    </row>
  </sheetData>
  <mergeCells count="82">
    <mergeCell ref="A12:C14"/>
    <mergeCell ref="D12:D14"/>
    <mergeCell ref="F13:H13"/>
    <mergeCell ref="B1:G2"/>
    <mergeCell ref="C5:G5"/>
    <mergeCell ref="A10:C11"/>
    <mergeCell ref="F10:I10"/>
    <mergeCell ref="F11:I11"/>
    <mergeCell ref="B15:C15"/>
    <mergeCell ref="A16:A20"/>
    <mergeCell ref="B16:C16"/>
    <mergeCell ref="B17:C17"/>
    <mergeCell ref="B18:C18"/>
    <mergeCell ref="B19:C19"/>
    <mergeCell ref="B20:C20"/>
    <mergeCell ref="A21:A35"/>
    <mergeCell ref="B21:C21"/>
    <mergeCell ref="B22:C22"/>
    <mergeCell ref="B23:C23"/>
    <mergeCell ref="B24:C24"/>
    <mergeCell ref="B25:C25"/>
    <mergeCell ref="B26:C26"/>
    <mergeCell ref="B27:C27"/>
    <mergeCell ref="B28:C28"/>
    <mergeCell ref="B68:B70"/>
    <mergeCell ref="B29:C29"/>
    <mergeCell ref="B30:C30"/>
    <mergeCell ref="B31:C31"/>
    <mergeCell ref="B32:C32"/>
    <mergeCell ref="B34:C34"/>
    <mergeCell ref="B35:C35"/>
    <mergeCell ref="B75:B76"/>
    <mergeCell ref="B77:C77"/>
    <mergeCell ref="A78:A98"/>
    <mergeCell ref="B78:C78"/>
    <mergeCell ref="B79:C79"/>
    <mergeCell ref="B80:C80"/>
    <mergeCell ref="B81:C81"/>
    <mergeCell ref="B82:C82"/>
    <mergeCell ref="A36:A76"/>
    <mergeCell ref="B36:B42"/>
    <mergeCell ref="B43:B46"/>
    <mergeCell ref="B47:B49"/>
    <mergeCell ref="B50:B51"/>
    <mergeCell ref="B52:B55"/>
    <mergeCell ref="B56:B64"/>
    <mergeCell ref="B65:B67"/>
    <mergeCell ref="A99:A109"/>
    <mergeCell ref="B99:C99"/>
    <mergeCell ref="B109:C109"/>
    <mergeCell ref="B89:C89"/>
    <mergeCell ref="B90:C90"/>
    <mergeCell ref="B91:C91"/>
    <mergeCell ref="B92:C92"/>
    <mergeCell ref="B93:C93"/>
    <mergeCell ref="B94:C94"/>
    <mergeCell ref="B104:C104"/>
    <mergeCell ref="B105:C105"/>
    <mergeCell ref="B106:C106"/>
    <mergeCell ref="B107:C107"/>
    <mergeCell ref="B108:C108"/>
    <mergeCell ref="E12:E14"/>
    <mergeCell ref="B100:C100"/>
    <mergeCell ref="B101:C101"/>
    <mergeCell ref="B102:C102"/>
    <mergeCell ref="B103:C103"/>
    <mergeCell ref="B95:C95"/>
    <mergeCell ref="B96:C96"/>
    <mergeCell ref="B97:C97"/>
    <mergeCell ref="B98:C98"/>
    <mergeCell ref="B83:C83"/>
    <mergeCell ref="B84:C84"/>
    <mergeCell ref="B85:C85"/>
    <mergeCell ref="B86:C86"/>
    <mergeCell ref="B87:C87"/>
    <mergeCell ref="B88:C88"/>
    <mergeCell ref="B71:B72"/>
    <mergeCell ref="A110:C111"/>
    <mergeCell ref="F111:H111"/>
    <mergeCell ref="B115:H115"/>
    <mergeCell ref="B116:H116"/>
    <mergeCell ref="B117:H117"/>
  </mergeCells>
  <conditionalFormatting sqref="F111:H113">
    <cfRule type="colorScale" priority="6">
      <colorScale>
        <cfvo type="num" val="0.5"/>
        <cfvo type="num" val="0.7"/>
        <cfvo type="num" val="1"/>
        <color rgb="FFFF0000"/>
        <color rgb="FFFFEB84"/>
        <color theme="9" tint="-0.249977111117893"/>
      </colorScale>
    </cfRule>
  </conditionalFormatting>
  <conditionalFormatting sqref="E15:E109">
    <cfRule type="cellIs" dxfId="5" priority="1" operator="equal">
      <formula>0</formula>
    </cfRule>
    <cfRule type="containsText" dxfId="4" priority="2" operator="containsText" text="PORFAVOR MARQUE UNA SOLA OPCION">
      <formula>NOT(ISERROR(SEARCH("PORFAVOR MARQUE UNA SOLA OPCION",E15)))</formula>
    </cfRule>
    <cfRule type="cellIs" dxfId="3" priority="3" operator="greater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CONSULTA PRECONCEPCIONAL</vt:lpstr>
      <vt:lpstr>CONTROL PRENTAL</vt:lpstr>
      <vt:lpstr>PF.</vt:lpstr>
      <vt:lpstr>LACTANCIA MATERNA</vt:lpstr>
      <vt:lpstr>PRIMERA INFANCIA</vt:lpstr>
      <vt:lpstr>INFANCIA</vt:lpstr>
      <vt:lpstr>ADOLESCENCIA</vt:lpstr>
      <vt:lpstr>JUEVENTUD</vt:lpstr>
      <vt:lpstr>ADULTEZ</vt:lpstr>
      <vt:lpstr>VEJEZ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Yenny Marcela Mateus Suarez</dc:creator>
  <cp:lastModifiedBy>Claudia Orduy</cp:lastModifiedBy>
  <dcterms:created xsi:type="dcterms:W3CDTF">2024-10-22T18:53:40Z</dcterms:created>
  <dcterms:modified xsi:type="dcterms:W3CDTF">2026-03-14T17:09:26Z</dcterms:modified>
</cp:coreProperties>
</file>